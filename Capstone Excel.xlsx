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FMTALI-16\Desktop\"/>
    </mc:Choice>
  </mc:AlternateContent>
  <xr:revisionPtr revIDLastSave="0" documentId="8_{9E967490-3702-4D2D-85DA-E612F780CD98}" xr6:coauthVersionLast="47" xr6:coauthVersionMax="47" xr10:uidLastSave="{00000000-0000-0000-0000-000000000000}"/>
  <bookViews>
    <workbookView xWindow="-108" yWindow="-108" windowWidth="23256" windowHeight="12456" firstSheet="3" activeTab="9" xr2:uid="{88FEDF52-F771-473C-86EA-B58675095CDD}"/>
  </bookViews>
  <sheets>
    <sheet name="PivotTables" sheetId="12" r:id="rId1"/>
    <sheet name="Sheet11" sheetId="13" r:id="rId2"/>
    <sheet name="Sales_All" sheetId="3" r:id="rId3"/>
    <sheet name="VIP_Report" sheetId="11" r:id="rId4"/>
    <sheet name="Lists" sheetId="9" r:id="rId5"/>
    <sheet name="Summary" sheetId="8" r:id="rId6"/>
    <sheet name="Customer_List" sheetId="4" r:id="rId7"/>
    <sheet name="Product_List" sheetId="5" r:id="rId8"/>
    <sheet name="Finance_Data" sheetId="6" r:id="rId9"/>
    <sheet name="Operations_Data" sheetId="7" r:id="rId10"/>
  </sheets>
  <definedNames>
    <definedName name="_xlcn.WorksheetConnection_Book1Sales_All1" hidden="1">Sales_All[]</definedName>
    <definedName name="Accessories">Lists!$B$2:$B$1048576</definedName>
    <definedName name="Electronics">Lists!$A$2:$A$1048576</definedName>
    <definedName name="ExternalData_1" localSheetId="6" hidden="1">Customer_List!$A$1:$H$29</definedName>
    <definedName name="ExternalData_1" localSheetId="8" hidden="1">Finance_Data!$A$1:$E$10</definedName>
    <definedName name="ExternalData_1" localSheetId="9" hidden="1">Operations_Data!$A$1:$D$91</definedName>
    <definedName name="ExternalData_1" localSheetId="7" hidden="1">Product_List!$A$1:$E$7</definedName>
    <definedName name="ExternalData_4" localSheetId="2" hidden="1">Sales_All!$A$1:$J$91</definedName>
    <definedName name="ExternalData_4" localSheetId="3" hidden="1">VIP_Report!#REF!</definedName>
    <definedName name="Office">Lists!$C$2:$C$1048576</definedName>
    <definedName name="ProductCategories">OFFSET(Product_List!$B$2,0,0,COUNTA(Product_List!$B:$B)-1,1)</definedName>
    <definedName name="Slicer_Category">#N/A</definedName>
    <definedName name="Slicer_Region">#N/A</definedName>
  </definedNames>
  <calcPr calcId="191029"/>
  <pivotCaches>
    <pivotCache cacheId="22" r:id="rId11"/>
    <pivotCache cacheId="26" r:id="rId12"/>
  </pivotCaches>
  <extLst>
    <ext xmlns:x14="http://schemas.microsoft.com/office/spreadsheetml/2009/9/main" uri="{876F7934-8845-4945-9796-88D515C7AA90}">
      <x14:pivotCaches>
        <pivotCache cacheId="13"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Q1  2_49c6780d-1e8e-4021-8c59-ef886bf46dbd" name="Sales_Q1  2" connection="Query - Sales_Q1 (2)"/>
          <x15:modelTable id="Sales_Q2_701e61a2-725e-4169-9342-48299baabf1a" name="Sales_Q2" connection="Query - Sales_Q2"/>
          <x15:modelTable id="Sales_Q3_759a14f0-f212-4319-9ebd-a0f7ec18a652" name="Sales_Q3" connection="Query - Sales_Q3"/>
          <x15:modelTable id="Customers_b9d78004-21d3-488f-8b91-d540b3c24b0b" name="Customers" connection="Query - Customers"/>
          <x15:modelTable id="Products_50d0306f-a5a6-4ec5-8ac6-65f6f6090df0" name="Products" connection="Query - Products"/>
          <x15:modelTable id="Finance_2a316bcf-81b5-4399-9a0d-a5617adecf2e" name="Finance" connection="Query - Finance"/>
          <x15:modelTable id="Operations_87a55301-f264-445a-aca3-f5afc099a24b" name="Operations" connection="Query - Operations"/>
          <x15:modelTable id="Sales_All" name="Sales_All" connection="WorksheetConnection_Book1!Sales_Al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8" l="1" a="1"/>
  <c r="V2" i="3" a="1"/>
  <c r="V3" i="3" a="1"/>
  <c r="V4" i="3" a="1"/>
  <c r="V5" i="3" a="1"/>
  <c r="V6" i="3" a="1"/>
  <c r="V7" i="3" a="1"/>
  <c r="V8" i="3" a="1"/>
  <c r="V9" i="3" a="1"/>
  <c r="V10" i="3" a="1"/>
  <c r="V11" i="3" a="1"/>
  <c r="V12" i="3" a="1"/>
  <c r="V13" i="3" a="1"/>
  <c r="V14" i="3" a="1"/>
  <c r="V15" i="3" a="1"/>
  <c r="V16" i="3" a="1"/>
  <c r="V17" i="3" a="1"/>
  <c r="V18" i="3" a="1"/>
  <c r="V19" i="3" a="1"/>
  <c r="V20" i="3" a="1"/>
  <c r="V21" i="3" a="1"/>
  <c r="V22" i="3" a="1"/>
  <c r="V23" i="3" a="1"/>
  <c r="V24" i="3" a="1"/>
  <c r="V25" i="3" a="1"/>
  <c r="V26" i="3" a="1"/>
  <c r="V27" i="3" a="1"/>
  <c r="V28" i="3" a="1"/>
  <c r="V29" i="3" a="1"/>
  <c r="V30" i="3" a="1"/>
  <c r="V31" i="3" a="1"/>
  <c r="V32" i="3" a="1"/>
  <c r="V33" i="3" a="1"/>
  <c r="V34" i="3" a="1"/>
  <c r="V35" i="3" a="1"/>
  <c r="V36" i="3" a="1"/>
  <c r="V37" i="3" a="1"/>
  <c r="V38" i="3" a="1"/>
  <c r="V39" i="3" a="1"/>
  <c r="V40" i="3" a="1"/>
  <c r="V41" i="3" a="1"/>
  <c r="V42" i="3" a="1"/>
  <c r="V43" i="3" a="1"/>
  <c r="V44" i="3" a="1"/>
  <c r="V45" i="3" a="1"/>
  <c r="V46" i="3" a="1"/>
  <c r="V47" i="3" a="1"/>
  <c r="V48" i="3" a="1"/>
  <c r="V49" i="3" a="1"/>
  <c r="V50" i="3" a="1"/>
  <c r="V51" i="3" a="1"/>
  <c r="V52" i="3" a="1"/>
  <c r="V53" i="3" a="1"/>
  <c r="V54" i="3" a="1"/>
  <c r="V55" i="3" a="1"/>
  <c r="V56" i="3" a="1"/>
  <c r="V57" i="3" a="1"/>
  <c r="V58" i="3" a="1"/>
  <c r="V59" i="3" a="1"/>
  <c r="V60" i="3" a="1"/>
  <c r="V61" i="3" a="1"/>
  <c r="V62" i="3" a="1"/>
  <c r="V63" i="3" a="1"/>
  <c r="V64" i="3" a="1"/>
  <c r="V65" i="3" a="1"/>
  <c r="V66" i="3" a="1"/>
  <c r="V67" i="3" a="1"/>
  <c r="V68" i="3" a="1"/>
  <c r="V69" i="3" a="1"/>
  <c r="V70" i="3" a="1"/>
  <c r="V71" i="3" a="1"/>
  <c r="V72" i="3" a="1"/>
  <c r="V73" i="3" a="1"/>
  <c r="V74" i="3" a="1"/>
  <c r="V75" i="3" a="1"/>
  <c r="V76" i="3" a="1"/>
  <c r="V77" i="3" a="1"/>
  <c r="V78" i="3" a="1"/>
  <c r="V79" i="3" a="1"/>
  <c r="V80" i="3" a="1"/>
  <c r="V81" i="3" a="1"/>
  <c r="V82" i="3" a="1"/>
  <c r="V83" i="3" a="1"/>
  <c r="V84" i="3" a="1"/>
  <c r="V85" i="3" a="1"/>
  <c r="V86" i="3" a="1"/>
  <c r="V87" i="3" a="1"/>
  <c r="V88" i="3" a="1"/>
  <c r="V89" i="3" a="1"/>
  <c r="V90" i="3" a="1"/>
  <c r="V91" i="3" a="1"/>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K2" i="3"/>
  <c r="Q2" i="3"/>
  <c r="T2" i="3" s="1" a="1"/>
  <c r="Q3" i="3"/>
  <c r="T3" i="3" s="1" a="1"/>
  <c r="Q4" i="3"/>
  <c r="T4" i="3" s="1" a="1"/>
  <c r="Q5" i="3"/>
  <c r="T5" i="3" s="1" a="1"/>
  <c r="Q6" i="3"/>
  <c r="T6" i="3" s="1" a="1"/>
  <c r="Q7" i="3"/>
  <c r="T7" i="3" s="1" a="1"/>
  <c r="Q8" i="3"/>
  <c r="T8" i="3" s="1" a="1"/>
  <c r="Q9" i="3"/>
  <c r="T9" i="3" s="1" a="1"/>
  <c r="Q10" i="3"/>
  <c r="T10" i="3" s="1" a="1"/>
  <c r="Q11" i="3"/>
  <c r="T11" i="3" s="1" a="1"/>
  <c r="Q12" i="3"/>
  <c r="T12" i="3" s="1" a="1"/>
  <c r="Q13" i="3"/>
  <c r="T13" i="3" s="1" a="1"/>
  <c r="Q14" i="3"/>
  <c r="T14" i="3" s="1" a="1"/>
  <c r="Q15" i="3"/>
  <c r="T15" i="3" s="1" a="1"/>
  <c r="Q16" i="3"/>
  <c r="T16" i="3" s="1" a="1"/>
  <c r="Q17" i="3"/>
  <c r="T17" i="3" s="1" a="1"/>
  <c r="Q18" i="3"/>
  <c r="T18" i="3" s="1" a="1"/>
  <c r="Q19" i="3"/>
  <c r="T19" i="3" s="1" a="1"/>
  <c r="Q20" i="3"/>
  <c r="T20" i="3" s="1" a="1"/>
  <c r="Q21" i="3"/>
  <c r="T21" i="3" s="1" a="1"/>
  <c r="Q22" i="3"/>
  <c r="T22" i="3" s="1" a="1"/>
  <c r="Q23" i="3"/>
  <c r="T23" i="3" s="1" a="1"/>
  <c r="Q24" i="3"/>
  <c r="T24" i="3" s="1" a="1"/>
  <c r="Q25" i="3"/>
  <c r="T25" i="3" s="1" a="1"/>
  <c r="Q26" i="3"/>
  <c r="T26" i="3" s="1" a="1"/>
  <c r="Q27" i="3"/>
  <c r="T27" i="3" s="1" a="1"/>
  <c r="Q28" i="3"/>
  <c r="T28" i="3" s="1" a="1"/>
  <c r="Q29" i="3"/>
  <c r="T29" i="3" s="1" a="1"/>
  <c r="Q30" i="3"/>
  <c r="T30" i="3" s="1" a="1"/>
  <c r="Q31" i="3"/>
  <c r="T31" i="3" s="1" a="1"/>
  <c r="Q32" i="3"/>
  <c r="T32" i="3" s="1" a="1"/>
  <c r="Q33" i="3"/>
  <c r="T33" i="3" s="1" a="1"/>
  <c r="Q34" i="3"/>
  <c r="T34" i="3" s="1" a="1"/>
  <c r="Q35" i="3"/>
  <c r="T35" i="3" s="1" a="1"/>
  <c r="Q36" i="3"/>
  <c r="T36" i="3" s="1" a="1"/>
  <c r="Q37" i="3"/>
  <c r="T37" i="3" s="1" a="1"/>
  <c r="Q38" i="3"/>
  <c r="T38" i="3" s="1" a="1"/>
  <c r="Q39" i="3"/>
  <c r="T39" i="3" s="1" a="1"/>
  <c r="Q40" i="3"/>
  <c r="T40" i="3" s="1" a="1"/>
  <c r="Q41" i="3"/>
  <c r="T41" i="3" s="1" a="1"/>
  <c r="Q42" i="3"/>
  <c r="T42" i="3" s="1" a="1"/>
  <c r="Q43" i="3"/>
  <c r="T43" i="3" s="1" a="1"/>
  <c r="Q44" i="3"/>
  <c r="T44" i="3" s="1" a="1"/>
  <c r="Q45" i="3"/>
  <c r="T45" i="3" s="1" a="1"/>
  <c r="Q46" i="3"/>
  <c r="T46" i="3" s="1" a="1"/>
  <c r="Q47" i="3"/>
  <c r="T47" i="3" s="1" a="1"/>
  <c r="Q48" i="3"/>
  <c r="T48" i="3" s="1" a="1"/>
  <c r="Q49" i="3"/>
  <c r="T49" i="3" s="1" a="1"/>
  <c r="Q50" i="3"/>
  <c r="T50" i="3" s="1" a="1"/>
  <c r="Q51" i="3"/>
  <c r="T51" i="3" s="1" a="1"/>
  <c r="Q52" i="3"/>
  <c r="T52" i="3" s="1" a="1"/>
  <c r="Q53" i="3"/>
  <c r="T53" i="3" s="1" a="1"/>
  <c r="Q54" i="3"/>
  <c r="T54" i="3" s="1" a="1"/>
  <c r="Q55" i="3"/>
  <c r="T55" i="3" s="1" a="1"/>
  <c r="Q56" i="3"/>
  <c r="T56" i="3" s="1" a="1"/>
  <c r="Q57" i="3"/>
  <c r="T57" i="3" s="1" a="1"/>
  <c r="Q58" i="3"/>
  <c r="T58" i="3" s="1" a="1"/>
  <c r="Q59" i="3"/>
  <c r="T59" i="3" s="1" a="1"/>
  <c r="Q60" i="3"/>
  <c r="T60" i="3" s="1" a="1"/>
  <c r="Q61" i="3"/>
  <c r="T61" i="3" s="1" a="1"/>
  <c r="Q62" i="3"/>
  <c r="T62" i="3" s="1" a="1"/>
  <c r="Q63" i="3"/>
  <c r="T63" i="3" s="1" a="1"/>
  <c r="Q64" i="3"/>
  <c r="T64" i="3" s="1" a="1"/>
  <c r="Q65" i="3"/>
  <c r="T65" i="3" s="1" a="1"/>
  <c r="Q66" i="3"/>
  <c r="T66" i="3" s="1" a="1"/>
  <c r="Q67" i="3"/>
  <c r="T67" i="3" s="1" a="1"/>
  <c r="Q68" i="3"/>
  <c r="T68" i="3" s="1" a="1"/>
  <c r="Q69" i="3"/>
  <c r="T69" i="3" s="1" a="1"/>
  <c r="Q70" i="3"/>
  <c r="T70" i="3" s="1" a="1"/>
  <c r="Q71" i="3"/>
  <c r="T71" i="3" s="1" a="1"/>
  <c r="Q72" i="3"/>
  <c r="T72" i="3" s="1" a="1"/>
  <c r="Q73" i="3"/>
  <c r="T73" i="3" s="1" a="1"/>
  <c r="Q74" i="3"/>
  <c r="T74" i="3" s="1" a="1"/>
  <c r="Q75" i="3"/>
  <c r="T75" i="3" s="1" a="1"/>
  <c r="Q76" i="3"/>
  <c r="T76" i="3" s="1" a="1"/>
  <c r="Q77" i="3"/>
  <c r="T77" i="3" s="1" a="1"/>
  <c r="Q78" i="3"/>
  <c r="T78" i="3" s="1" a="1"/>
  <c r="Q79" i="3"/>
  <c r="T79" i="3" s="1" a="1"/>
  <c r="Q80" i="3"/>
  <c r="T80" i="3" s="1" a="1"/>
  <c r="Q81" i="3"/>
  <c r="T81" i="3" s="1" a="1"/>
  <c r="Q82" i="3"/>
  <c r="T82" i="3" s="1" a="1"/>
  <c r="Q83" i="3"/>
  <c r="T83" i="3" s="1" a="1"/>
  <c r="Q84" i="3"/>
  <c r="T84" i="3" s="1" a="1"/>
  <c r="Q85" i="3"/>
  <c r="T85" i="3" s="1" a="1"/>
  <c r="Q86" i="3"/>
  <c r="T86" i="3" s="1" a="1"/>
  <c r="Q87" i="3"/>
  <c r="T87" i="3" s="1" a="1"/>
  <c r="Q88" i="3"/>
  <c r="T88" i="3" s="1" a="1"/>
  <c r="Q89" i="3"/>
  <c r="T89" i="3" s="1" a="1"/>
  <c r="Q90" i="3"/>
  <c r="T90" i="3" s="1" a="1"/>
  <c r="Q91" i="3"/>
  <c r="T91" i="3" s="1" a="1"/>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G2" i="4"/>
  <c r="G3" i="4"/>
  <c r="G4" i="4"/>
  <c r="G5" i="4"/>
  <c r="G6" i="4"/>
  <c r="G7" i="4"/>
  <c r="G8" i="4"/>
  <c r="G9" i="4"/>
  <c r="G10" i="4"/>
  <c r="G11" i="4"/>
  <c r="G12" i="4"/>
  <c r="G13" i="4"/>
  <c r="G14" i="4"/>
  <c r="G15" i="4"/>
  <c r="G16" i="4"/>
  <c r="G17" i="4"/>
  <c r="G18" i="4"/>
  <c r="G19" i="4"/>
  <c r="G20" i="4"/>
  <c r="G21" i="4"/>
  <c r="G22" i="4"/>
  <c r="G23" i="4"/>
  <c r="G24" i="4"/>
  <c r="G25" i="4"/>
  <c r="G26" i="4"/>
  <c r="G27" i="4"/>
  <c r="G28" i="4"/>
  <c r="G29" i="4"/>
  <c r="F2" i="4"/>
  <c r="F3" i="4"/>
  <c r="F4" i="4"/>
  <c r="F5" i="4"/>
  <c r="F6" i="4"/>
  <c r="F7" i="4"/>
  <c r="F8" i="4"/>
  <c r="F9" i="4"/>
  <c r="F10" i="4"/>
  <c r="F11" i="4"/>
  <c r="F12" i="4"/>
  <c r="F13" i="4"/>
  <c r="F14" i="4"/>
  <c r="F15" i="4"/>
  <c r="F16" i="4"/>
  <c r="F17" i="4"/>
  <c r="F18" i="4"/>
  <c r="F19" i="4"/>
  <c r="F20" i="4"/>
  <c r="F21" i="4"/>
  <c r="F22" i="4"/>
  <c r="F23" i="4"/>
  <c r="F24" i="4"/>
  <c r="F25" i="4"/>
  <c r="F26" i="4"/>
  <c r="F27" i="4"/>
  <c r="F28" i="4"/>
  <c r="F29" i="4"/>
  <c r="B2" i="8" l="1"/>
  <c r="C3" i="8"/>
  <c r="C4" i="8"/>
  <c r="C5" i="8"/>
  <c r="C2" i="8"/>
  <c r="B3" i="8"/>
  <c r="B4" i="8"/>
  <c r="B5" i="8"/>
  <c r="M2" i="3"/>
  <c r="L2" i="3"/>
  <c r="N2" i="3" s="1"/>
  <c r="L3" i="3"/>
  <c r="M3" i="3"/>
  <c r="N3" i="3" s="1"/>
  <c r="L4" i="3"/>
  <c r="M4" i="3"/>
  <c r="L5" i="3"/>
  <c r="M5" i="3"/>
  <c r="N5" i="3" s="1"/>
  <c r="L6" i="3"/>
  <c r="M6" i="3"/>
  <c r="N6" i="3" s="1"/>
  <c r="L7" i="3"/>
  <c r="M7" i="3"/>
  <c r="N7" i="3" s="1"/>
  <c r="L8" i="3"/>
  <c r="M8" i="3"/>
  <c r="N8" i="3" s="1"/>
  <c r="L9" i="3"/>
  <c r="M9" i="3"/>
  <c r="N9" i="3" s="1"/>
  <c r="L10" i="3"/>
  <c r="M10" i="3"/>
  <c r="N10" i="3" s="1"/>
  <c r="L11" i="3"/>
  <c r="M11" i="3"/>
  <c r="N11" i="3" s="1"/>
  <c r="L12" i="3"/>
  <c r="M12" i="3"/>
  <c r="L13" i="3"/>
  <c r="M13" i="3"/>
  <c r="N13" i="3" s="1"/>
  <c r="L14" i="3"/>
  <c r="M14" i="3"/>
  <c r="N14" i="3" s="1"/>
  <c r="L15" i="3"/>
  <c r="M15" i="3"/>
  <c r="N15" i="3" s="1"/>
  <c r="L16" i="3"/>
  <c r="M16" i="3"/>
  <c r="N16" i="3" s="1"/>
  <c r="L17" i="3"/>
  <c r="M17" i="3"/>
  <c r="N17" i="3" s="1"/>
  <c r="L18" i="3"/>
  <c r="M18" i="3"/>
  <c r="N18" i="3" s="1"/>
  <c r="L19" i="3"/>
  <c r="M19" i="3"/>
  <c r="L20" i="3"/>
  <c r="M20" i="3"/>
  <c r="N20" i="3" s="1"/>
  <c r="L21" i="3"/>
  <c r="M21" i="3"/>
  <c r="N21" i="3" s="1"/>
  <c r="L22" i="3"/>
  <c r="M22" i="3"/>
  <c r="N22" i="3" s="1"/>
  <c r="L23" i="3"/>
  <c r="M23" i="3"/>
  <c r="N23" i="3" s="1"/>
  <c r="L24" i="3"/>
  <c r="M24" i="3"/>
  <c r="N24" i="3" s="1"/>
  <c r="L25" i="3"/>
  <c r="M25" i="3"/>
  <c r="N25" i="3" s="1"/>
  <c r="L26" i="3"/>
  <c r="M26" i="3"/>
  <c r="N26" i="3" s="1"/>
  <c r="L27" i="3"/>
  <c r="M27" i="3"/>
  <c r="N27" i="3" s="1"/>
  <c r="L28" i="3"/>
  <c r="M28" i="3"/>
  <c r="N28" i="3" s="1"/>
  <c r="L29" i="3"/>
  <c r="M29" i="3"/>
  <c r="N29" i="3" s="1"/>
  <c r="L30" i="3"/>
  <c r="M30" i="3"/>
  <c r="N30" i="3" s="1"/>
  <c r="L31" i="3"/>
  <c r="M31" i="3"/>
  <c r="N31" i="3" s="1"/>
  <c r="L32" i="3"/>
  <c r="M32" i="3"/>
  <c r="N32" i="3" s="1"/>
  <c r="L33" i="3"/>
  <c r="M33" i="3"/>
  <c r="N33" i="3" s="1"/>
  <c r="L34" i="3"/>
  <c r="M34" i="3"/>
  <c r="N34" i="3" s="1"/>
  <c r="L35" i="3"/>
  <c r="M35" i="3"/>
  <c r="N35" i="3" s="1"/>
  <c r="L36" i="3"/>
  <c r="M36" i="3"/>
  <c r="N36" i="3" s="1"/>
  <c r="L37" i="3"/>
  <c r="M37" i="3"/>
  <c r="N37" i="3" s="1"/>
  <c r="L38" i="3"/>
  <c r="M38" i="3"/>
  <c r="N38" i="3" s="1"/>
  <c r="L39" i="3"/>
  <c r="M39" i="3"/>
  <c r="N39" i="3" s="1"/>
  <c r="L40" i="3"/>
  <c r="M40" i="3"/>
  <c r="N40" i="3" s="1"/>
  <c r="L41" i="3"/>
  <c r="M41" i="3"/>
  <c r="N41" i="3" s="1"/>
  <c r="L42" i="3"/>
  <c r="M42" i="3"/>
  <c r="N42" i="3" s="1"/>
  <c r="L43" i="3"/>
  <c r="M43" i="3"/>
  <c r="N43" i="3" s="1"/>
  <c r="L44" i="3"/>
  <c r="M44" i="3"/>
  <c r="L45" i="3"/>
  <c r="M45" i="3"/>
  <c r="N45" i="3" s="1"/>
  <c r="L46" i="3"/>
  <c r="M46" i="3"/>
  <c r="N46" i="3" s="1"/>
  <c r="L47" i="3"/>
  <c r="M47" i="3"/>
  <c r="N47" i="3" s="1"/>
  <c r="L48" i="3"/>
  <c r="M48" i="3"/>
  <c r="N48" i="3" s="1"/>
  <c r="L49" i="3"/>
  <c r="M49" i="3"/>
  <c r="N49" i="3" s="1"/>
  <c r="L50" i="3"/>
  <c r="M50" i="3"/>
  <c r="N50" i="3" s="1"/>
  <c r="L51" i="3"/>
  <c r="M51" i="3"/>
  <c r="N51" i="3" s="1"/>
  <c r="L52" i="3"/>
  <c r="M52" i="3"/>
  <c r="N52" i="3" s="1"/>
  <c r="L53" i="3"/>
  <c r="M53" i="3"/>
  <c r="N53" i="3" s="1"/>
  <c r="L54" i="3"/>
  <c r="M54" i="3"/>
  <c r="N54" i="3" s="1"/>
  <c r="L55" i="3"/>
  <c r="M55" i="3"/>
  <c r="N55" i="3" s="1"/>
  <c r="L56" i="3"/>
  <c r="M56" i="3"/>
  <c r="N56" i="3" s="1"/>
  <c r="L57" i="3"/>
  <c r="M57" i="3"/>
  <c r="N57" i="3" s="1"/>
  <c r="L58" i="3"/>
  <c r="M58" i="3"/>
  <c r="N58" i="3" s="1"/>
  <c r="L59" i="3"/>
  <c r="M59" i="3"/>
  <c r="N59" i="3" s="1"/>
  <c r="L60" i="3"/>
  <c r="M60" i="3"/>
  <c r="N60" i="3" s="1"/>
  <c r="L61" i="3"/>
  <c r="M61" i="3"/>
  <c r="N61" i="3" s="1"/>
  <c r="L62" i="3"/>
  <c r="M62" i="3"/>
  <c r="N62" i="3" s="1"/>
  <c r="L63" i="3"/>
  <c r="M63" i="3"/>
  <c r="N63" i="3" s="1"/>
  <c r="L64" i="3"/>
  <c r="M64" i="3"/>
  <c r="N64" i="3" s="1"/>
  <c r="L65" i="3"/>
  <c r="M65" i="3"/>
  <c r="N65" i="3" s="1"/>
  <c r="L66" i="3"/>
  <c r="M66" i="3"/>
  <c r="N66" i="3" s="1"/>
  <c r="L67" i="3"/>
  <c r="M67" i="3"/>
  <c r="N67" i="3" s="1"/>
  <c r="L68" i="3"/>
  <c r="M68" i="3"/>
  <c r="N68" i="3" s="1"/>
  <c r="L69" i="3"/>
  <c r="M69" i="3"/>
  <c r="N69" i="3" s="1"/>
  <c r="L70" i="3"/>
  <c r="M70" i="3"/>
  <c r="N70" i="3" s="1"/>
  <c r="L71" i="3"/>
  <c r="M71" i="3"/>
  <c r="N71" i="3" s="1"/>
  <c r="L72" i="3"/>
  <c r="M72" i="3"/>
  <c r="N72" i="3" s="1"/>
  <c r="L73" i="3"/>
  <c r="M73" i="3"/>
  <c r="N73" i="3" s="1"/>
  <c r="L74" i="3"/>
  <c r="M74" i="3"/>
  <c r="N74" i="3" s="1"/>
  <c r="L75" i="3"/>
  <c r="M75" i="3"/>
  <c r="N75" i="3" s="1"/>
  <c r="L76" i="3"/>
  <c r="M76" i="3"/>
  <c r="N76" i="3" s="1"/>
  <c r="L77" i="3"/>
  <c r="M77" i="3"/>
  <c r="N77" i="3" s="1"/>
  <c r="L78" i="3"/>
  <c r="M78" i="3"/>
  <c r="N78" i="3" s="1"/>
  <c r="L79" i="3"/>
  <c r="M79" i="3"/>
  <c r="N79" i="3" s="1"/>
  <c r="L80" i="3"/>
  <c r="M80" i="3"/>
  <c r="N80" i="3" s="1"/>
  <c r="L81" i="3"/>
  <c r="M81" i="3"/>
  <c r="N81" i="3" s="1"/>
  <c r="L82" i="3"/>
  <c r="M82" i="3"/>
  <c r="N82" i="3" s="1"/>
  <c r="L83" i="3"/>
  <c r="M83" i="3"/>
  <c r="N83" i="3" s="1"/>
  <c r="L84" i="3"/>
  <c r="M84" i="3"/>
  <c r="N84" i="3" s="1"/>
  <c r="L85" i="3"/>
  <c r="M85" i="3"/>
  <c r="N85" i="3" s="1"/>
  <c r="L86" i="3"/>
  <c r="M86" i="3"/>
  <c r="N86" i="3" s="1"/>
  <c r="L87" i="3"/>
  <c r="M87" i="3"/>
  <c r="N87" i="3" s="1"/>
  <c r="L88" i="3"/>
  <c r="M88" i="3"/>
  <c r="N88" i="3" s="1"/>
  <c r="L89" i="3"/>
  <c r="M89" i="3"/>
  <c r="N89" i="3" s="1"/>
  <c r="L90" i="3"/>
  <c r="M90" i="3"/>
  <c r="N90" i="3" s="1"/>
  <c r="L91" i="3"/>
  <c r="M91" i="3"/>
  <c r="N91" i="3" s="1"/>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N44" i="3" l="1"/>
  <c r="N19" i="3"/>
  <c r="N12" i="3"/>
  <c r="N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39F2A3-22B6-4F14-B888-E1617BDD11AC}"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321DEEB4-98FD-4703-B9CC-D63BBE8E84FA}" keepAlive="1" name="ModelConnection_ExternalData_11"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D5002170-F786-486A-9381-4AA5ACBA815F}" keepAlive="1" name="ModelConnection_ExternalData_12" description="Data Model" type="5" refreshedVersion="8" minRefreshableVersion="5" saveData="1">
    <dbPr connection="Data Model Connection" command="Finance" commandType="3"/>
    <extLst>
      <ext xmlns:x15="http://schemas.microsoft.com/office/spreadsheetml/2010/11/main" uri="{DE250136-89BD-433C-8126-D09CA5730AF9}">
        <x15:connection id="" model="1"/>
      </ext>
    </extLst>
  </connection>
  <connection id="4" xr16:uid="{19FDF8DA-53B8-45CB-9295-7DCB0D8B865B}" keepAlive="1" name="ModelConnection_ExternalData_13" description="Data Model" type="5" refreshedVersion="8" minRefreshableVersion="5" saveData="1">
    <dbPr connection="Data Model Connection" command="Operations" commandType="3"/>
    <extLst>
      <ext xmlns:x15="http://schemas.microsoft.com/office/spreadsheetml/2010/11/main" uri="{DE250136-89BD-433C-8126-D09CA5730AF9}">
        <x15:connection id="" model="1"/>
      </ext>
    </extLst>
  </connection>
  <connection id="5" xr16:uid="{0B3CAECF-24B4-4602-9B22-0F260265EB76}" name="Query - Customers" description="Connection to the 'Customers' query in the workbook." type="100" refreshedVersion="8" minRefreshableVersion="5">
    <extLst>
      <ext xmlns:x15="http://schemas.microsoft.com/office/spreadsheetml/2010/11/main" uri="{DE250136-89BD-433C-8126-D09CA5730AF9}">
        <x15:connection id="0b1994a5-f2ac-4e3a-b168-7de9c5b98dbd"/>
      </ext>
    </extLst>
  </connection>
  <connection id="6" xr16:uid="{8E75A5AC-4364-4E6D-A062-70948E9B6EA5}" name="Query - Finance" description="Connection to the 'Finance' query in the workbook." type="100" refreshedVersion="8" minRefreshableVersion="5">
    <extLst>
      <ext xmlns:x15="http://schemas.microsoft.com/office/spreadsheetml/2010/11/main" uri="{DE250136-89BD-433C-8126-D09CA5730AF9}">
        <x15:connection id="0abaea65-466d-4fe4-9291-3a0b94f9f129"/>
      </ext>
    </extLst>
  </connection>
  <connection id="7" xr16:uid="{6DCC52E7-8A3B-4BD3-9161-DC5A010E57DA}" name="Query - Operations" description="Connection to the 'Operations' query in the workbook." type="100" refreshedVersion="8" minRefreshableVersion="5">
    <extLst>
      <ext xmlns:x15="http://schemas.microsoft.com/office/spreadsheetml/2010/11/main" uri="{DE250136-89BD-433C-8126-D09CA5730AF9}">
        <x15:connection id="2036c5fe-cfd8-464c-8365-d79870132a1f"/>
      </ext>
    </extLst>
  </connection>
  <connection id="8" xr16:uid="{BD35D29D-7F3B-46B5-AD72-CB76108F7F05}" name="Query - Products" description="Connection to the 'Products' query in the workbook." type="100" refreshedVersion="8" minRefreshableVersion="5">
    <extLst>
      <ext xmlns:x15="http://schemas.microsoft.com/office/spreadsheetml/2010/11/main" uri="{DE250136-89BD-433C-8126-D09CA5730AF9}">
        <x15:connection id="2ffcf756-500c-4e59-b475-ae0bab72fb29"/>
      </ext>
    </extLst>
  </connection>
  <connection id="9" xr16:uid="{1C003AF6-2929-4FD1-8A97-F0C0DF5B78AC}" keepAlive="1" name="Query - Sales_All" description="Connection to the 'Sales_All' query in the workbook." type="5" refreshedVersion="8" background="1" saveData="1">
    <dbPr connection="Provider=Microsoft.Mashup.OleDb.1;Data Source=$Workbook$;Location=Sales_All;Extended Properties=&quot;&quot;" command="SELECT * FROM [Sales_All]"/>
  </connection>
  <connection id="10" xr16:uid="{DD4F041B-4F9B-4391-876C-426ACB5914C6}" keepAlive="1" name="Query - Sales_All (2)" description="Connection to the 'Sales_All (2)' query in the workbook." type="5" refreshedVersion="8" background="1" saveData="1">
    <dbPr connection="Provider=Microsoft.Mashup.OleDb.1;Data Source=$Workbook$;Location=&quot;Sales_All (2)&quot;;Extended Properties=&quot;&quot;" command="SELECT * FROM [Sales_All (2)]"/>
  </connection>
  <connection id="11" xr16:uid="{DB3AC8CF-0D2A-4391-B4BB-9DCB0EE00C7E}" keepAlive="1" name="Query - Sales_Q1" description="Connection to the 'Sales_Q1' query in the workbook." type="5" refreshedVersion="0" background="1">
    <dbPr connection="Provider=Microsoft.Mashup.OleDb.1;Data Source=$Workbook$;Location=Sales_Q1;Extended Properties=&quot;&quot;" command="SELECT * FROM [Sales_Q1]"/>
  </connection>
  <connection id="12" xr16:uid="{2BDE5759-DE61-4BC3-895C-83F749BBF127}" name="Query - Sales_Q1 (2)" description="Connection to the 'Sales_Q1 (2)' query in the workbook." type="100" refreshedVersion="8" minRefreshableVersion="5">
    <extLst>
      <ext xmlns:x15="http://schemas.microsoft.com/office/spreadsheetml/2010/11/main" uri="{DE250136-89BD-433C-8126-D09CA5730AF9}">
        <x15:connection id="1946e80a-f35f-4abe-955b-40722a7df6b2"/>
      </ext>
    </extLst>
  </connection>
  <connection id="13" xr16:uid="{58A2B3C8-E5D6-4AAF-89B9-C1361895B4A4}" name="Query - Sales_Q2" description="Connection to the 'Sales_Q2' query in the workbook." type="100" refreshedVersion="8" minRefreshableVersion="5">
    <extLst>
      <ext xmlns:x15="http://schemas.microsoft.com/office/spreadsheetml/2010/11/main" uri="{DE250136-89BD-433C-8126-D09CA5730AF9}">
        <x15:connection id="d984ed8b-baaa-4589-aa24-3e56291247e3"/>
      </ext>
    </extLst>
  </connection>
  <connection id="14" xr16:uid="{EE038452-7F31-4564-B593-404524090EF3}" name="Query - Sales_Q3" description="Connection to the 'Sales_Q3' query in the workbook." type="100" refreshedVersion="8" minRefreshableVersion="5">
    <extLst>
      <ext xmlns:x15="http://schemas.microsoft.com/office/spreadsheetml/2010/11/main" uri="{DE250136-89BD-433C-8126-D09CA5730AF9}">
        <x15:connection id="edf27bc6-b46c-406f-a424-ca15b4efaff3"/>
      </ext>
    </extLst>
  </connection>
  <connection id="15" xr16:uid="{B5E85CCE-A641-4B36-8542-18ECA15DC5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34F3AAF7-4072-4499-88B9-7325F06ADFCF}" name="WorksheetConnection_Book1!Sales_All" type="102" refreshedVersion="8" minRefreshableVersion="5">
    <extLst>
      <ext xmlns:x15="http://schemas.microsoft.com/office/spreadsheetml/2010/11/main" uri="{DE250136-89BD-433C-8126-D09CA5730AF9}">
        <x15:connection id="Sales_All" autoDelete="1">
          <x15:rangePr sourceName="_xlcn.WorksheetConnection_Book1Sales_All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<sst xmlns="http://schemas.openxmlformats.org/spreadsheetml/2006/main" count="583" uniqueCount="185">
  <si>
    <t>OrderID</t>
  </si>
  <si>
    <t>Date</t>
  </si>
  <si>
    <t>Region</t>
  </si>
  <si>
    <t>CustomerID</t>
  </si>
  <si>
    <t>Product</t>
  </si>
  <si>
    <t>Quantity</t>
  </si>
  <si>
    <t>UnitPrice</t>
  </si>
  <si>
    <t>Q1-001</t>
  </si>
  <si>
    <t>South</t>
  </si>
  <si>
    <t>Tablet</t>
  </si>
  <si>
    <t>Q1-002</t>
  </si>
  <si>
    <t>Headphones</t>
  </si>
  <si>
    <t>Q1-003</t>
  </si>
  <si>
    <t>West</t>
  </si>
  <si>
    <t>Monitor</t>
  </si>
  <si>
    <t>Q1-004</t>
  </si>
  <si>
    <t>East</t>
  </si>
  <si>
    <t>Smartphone</t>
  </si>
  <si>
    <t>Q1-005</t>
  </si>
  <si>
    <t>North</t>
  </si>
  <si>
    <t>Laptop</t>
  </si>
  <si>
    <t>Q1-006</t>
  </si>
  <si>
    <t>Q1-007</t>
  </si>
  <si>
    <t>Q1-008</t>
  </si>
  <si>
    <t>Q1-009</t>
  </si>
  <si>
    <t>Printer</t>
  </si>
  <si>
    <t>Q1-010</t>
  </si>
  <si>
    <t>Q1-011</t>
  </si>
  <si>
    <t>Q1-012</t>
  </si>
  <si>
    <t>Q1-013</t>
  </si>
  <si>
    <t>Q1-014</t>
  </si>
  <si>
    <t>Q1-015</t>
  </si>
  <si>
    <t>Q1-016</t>
  </si>
  <si>
    <t>Q1-017</t>
  </si>
  <si>
    <t>Q1-018</t>
  </si>
  <si>
    <t>Q1-019</t>
  </si>
  <si>
    <t>Q1-020</t>
  </si>
  <si>
    <t>Q1-021</t>
  </si>
  <si>
    <t>Q1-022</t>
  </si>
  <si>
    <t>Q1-023</t>
  </si>
  <si>
    <t>Q1-024</t>
  </si>
  <si>
    <t>Q1-025</t>
  </si>
  <si>
    <t>Q1-026</t>
  </si>
  <si>
    <t>Q1-027</t>
  </si>
  <si>
    <t>Q1-028</t>
  </si>
  <si>
    <t>Q1-029</t>
  </si>
  <si>
    <t>Q1-030</t>
  </si>
  <si>
    <t>Q2-001</t>
  </si>
  <si>
    <t>Q2-002</t>
  </si>
  <si>
    <t>Q2-003</t>
  </si>
  <si>
    <t>Q2-004</t>
  </si>
  <si>
    <t>Q2-005</t>
  </si>
  <si>
    <t>Q2-006</t>
  </si>
  <si>
    <t>Q2-007</t>
  </si>
  <si>
    <t>Q2-008</t>
  </si>
  <si>
    <t>Q2-009</t>
  </si>
  <si>
    <t>Q2-010</t>
  </si>
  <si>
    <t>Q2-011</t>
  </si>
  <si>
    <t>Q2-012</t>
  </si>
  <si>
    <t>Q2-013</t>
  </si>
  <si>
    <t>Q2-014</t>
  </si>
  <si>
    <t>Q2-015</t>
  </si>
  <si>
    <t>Q2-016</t>
  </si>
  <si>
    <t>Q2-017</t>
  </si>
  <si>
    <t>Q2-018</t>
  </si>
  <si>
    <t>Q2-019</t>
  </si>
  <si>
    <t>Q2-020</t>
  </si>
  <si>
    <t>Q2-021</t>
  </si>
  <si>
    <t>Q2-022</t>
  </si>
  <si>
    <t>Q2-023</t>
  </si>
  <si>
    <t>Q2-024</t>
  </si>
  <si>
    <t>Q2-025</t>
  </si>
  <si>
    <t>Q2-026</t>
  </si>
  <si>
    <t>Q2-027</t>
  </si>
  <si>
    <t>Q2-028</t>
  </si>
  <si>
    <t>Q2-029</t>
  </si>
  <si>
    <t>Q2-030</t>
  </si>
  <si>
    <t>Q3-001</t>
  </si>
  <si>
    <t>Q3-002</t>
  </si>
  <si>
    <t>Q3-003</t>
  </si>
  <si>
    <t>Q3-004</t>
  </si>
  <si>
    <t>Q3-005</t>
  </si>
  <si>
    <t>Q3-006</t>
  </si>
  <si>
    <t>Q3-007</t>
  </si>
  <si>
    <t>Q3-008</t>
  </si>
  <si>
    <t>Q3-009</t>
  </si>
  <si>
    <t>Q3-010</t>
  </si>
  <si>
    <t>Q3-011</t>
  </si>
  <si>
    <t>Q3-012</t>
  </si>
  <si>
    <t>Q3-013</t>
  </si>
  <si>
    <t>Q3-014</t>
  </si>
  <si>
    <t>Q3-015</t>
  </si>
  <si>
    <t>Q3-016</t>
  </si>
  <si>
    <t>Q3-017</t>
  </si>
  <si>
    <t>Q3-018</t>
  </si>
  <si>
    <t>Q3-019</t>
  </si>
  <si>
    <t>Q3-020</t>
  </si>
  <si>
    <t>Q3-021</t>
  </si>
  <si>
    <t>Q3-022</t>
  </si>
  <si>
    <t>Q3-023</t>
  </si>
  <si>
    <t>Q3-024</t>
  </si>
  <si>
    <t>Q3-025</t>
  </si>
  <si>
    <t>Q3-026</t>
  </si>
  <si>
    <t>Q3-027</t>
  </si>
  <si>
    <t>Q3-028</t>
  </si>
  <si>
    <t>Q3-029</t>
  </si>
  <si>
    <t>Q3-030</t>
  </si>
  <si>
    <t>FirstName</t>
  </si>
  <si>
    <t>LastName</t>
  </si>
  <si>
    <t>Email</t>
  </si>
  <si>
    <t>Extraction</t>
  </si>
  <si>
    <t>Naledi</t>
  </si>
  <si>
    <t>Pillay</t>
  </si>
  <si>
    <t>naledi.pillay@example.com</t>
  </si>
  <si>
    <t>example.com</t>
  </si>
  <si>
    <t>Michael</t>
  </si>
  <si>
    <t>van Wyk</t>
  </si>
  <si>
    <t>michael.van wyk@example.com</t>
  </si>
  <si>
    <t>Botha</t>
  </si>
  <si>
    <t>naledi.botha@example.com</t>
  </si>
  <si>
    <t>Johnson</t>
  </si>
  <si>
    <t>michael.johnson@example.com</t>
  </si>
  <si>
    <t>Emily</t>
  </si>
  <si>
    <t>emily.johnson@example.com</t>
  </si>
  <si>
    <t>Nguyen</t>
  </si>
  <si>
    <t>michael.nguyen@example.com</t>
  </si>
  <si>
    <t>Sipho</t>
  </si>
  <si>
    <t>sipho.johnson@example.com</t>
  </si>
  <si>
    <t>Sarah</t>
  </si>
  <si>
    <t>sarah.nguyen@example.com</t>
  </si>
  <si>
    <t>John</t>
  </si>
  <si>
    <t>Brown</t>
  </si>
  <si>
    <t>john.brown@example.com</t>
  </si>
  <si>
    <t>Smith</t>
  </si>
  <si>
    <t>john.smith@example.com</t>
  </si>
  <si>
    <t>naledi.van wyk@example.com</t>
  </si>
  <si>
    <t>sipho.van wyk@example.com</t>
  </si>
  <si>
    <t>Mlambo</t>
  </si>
  <si>
    <t>john.mlambo@example.com</t>
  </si>
  <si>
    <t>sipho.nguyen@example.com</t>
  </si>
  <si>
    <t>sipho.smith@example.com</t>
  </si>
  <si>
    <t>michael.mlambo@example.com</t>
  </si>
  <si>
    <t>naledi.nguyen@example.com</t>
  </si>
  <si>
    <t>David</t>
  </si>
  <si>
    <t>david.van wyk@example.com</t>
  </si>
  <si>
    <t>Thabo</t>
  </si>
  <si>
    <t>thabo.botha@example.com</t>
  </si>
  <si>
    <t>Lerato</t>
  </si>
  <si>
    <t>Naidoo</t>
  </si>
  <si>
    <t>lerato.naidoo@example.com</t>
  </si>
  <si>
    <t>Aisha</t>
  </si>
  <si>
    <t>aisha.brown@example.com</t>
  </si>
  <si>
    <t>lerato.van wyk@example.com</t>
  </si>
  <si>
    <t>Category</t>
  </si>
  <si>
    <t>UnitCost</t>
  </si>
  <si>
    <t>Discount</t>
  </si>
  <si>
    <t>Electronics</t>
  </si>
  <si>
    <t>Accessories</t>
  </si>
  <si>
    <t>Office</t>
  </si>
  <si>
    <t>Month</t>
  </si>
  <si>
    <t>Overheads</t>
  </si>
  <si>
    <t>Salaries</t>
  </si>
  <si>
    <t>OtherExpenses</t>
  </si>
  <si>
    <t>Net Profit</t>
  </si>
  <si>
    <t>DeliveryDays</t>
  </si>
  <si>
    <t>ReturnRate</t>
  </si>
  <si>
    <t>Operational Effeciency</t>
  </si>
  <si>
    <t>ProperName</t>
  </si>
  <si>
    <t>ProperSurname</t>
  </si>
  <si>
    <t>Delivery Days</t>
  </si>
  <si>
    <t>Return Rate</t>
  </si>
  <si>
    <t>Revenue</t>
  </si>
  <si>
    <t>Discounted Revenue</t>
  </si>
  <si>
    <t>Profit</t>
  </si>
  <si>
    <t>Customer Type</t>
  </si>
  <si>
    <t>Product Details</t>
  </si>
  <si>
    <t>Orders</t>
  </si>
  <si>
    <t>Average Delivery Days</t>
  </si>
  <si>
    <t>Purchase</t>
  </si>
  <si>
    <t>Cordless Mouse</t>
  </si>
  <si>
    <t>Row Labels</t>
  </si>
  <si>
    <t>Grand Total</t>
  </si>
  <si>
    <t>Sum of Revenue</t>
  </si>
  <si>
    <t>Sum of Profit</t>
  </si>
  <si>
    <t>Sum of Net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</si>
</sst>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65" fontId="0" fillId="0" borderId="0" xfId="0" applyNumberFormat="1"/>
    <xf numFmtId="0" fontId="0" fillId="0" borderId="0" xfId="0" applyProtection="1">
      <protection locked="0"/>
    </xf>
    <xf numFmtId="0" fontId="0" fillId="0" borderId="0" xfId="0" applyNumberFormat="1" applyProtection="1">
      <protection locked="0"/>
    </xf>
    <xf numFmtId="0" fontId="0" fillId="0" borderId="0" xfId="0" applyProtection="1"/>
    <xf numFmtId="0" fontId="0" fillId="0" borderId="0" xfId="0" applyNumberFormat="1" applyProtection="1"/>
    <xf numFmtId="0" fontId="0" fillId="0" borderId="0" xfId="0" pivotButton="1"/>
    <xf numFmtId="0" fontId="0" fillId="0" borderId="0" xfId="0" applyAlignment="1">
      <alignment horizontal="left"/>
    </xf>
  </cellXfs>
  <cellStyles count="1">
    <cellStyle name="Normal" xfId="0" builtinId="0"/>
  </cellStyles>
  <dxfs count="40">
    <dxf>
      <fill>
        <patternFill>
          <bgColor rgb="FFFF0000"/>
        </patternFill>
      </fill>
    </dxf>
    <dxf>
      <font>
        <color rgb="FF9C0006"/>
      </font>
      <fill>
        <patternFill>
          <bgColor rgb="FFFFC7CE"/>
        </patternFill>
      </fill>
    </dxf>
    <dxf>
      <fill>
        <patternFill>
          <bgColor rgb="FFFFC7CE"/>
        </patternFill>
      </fill>
    </dxf>
    <dxf>
      <fill>
        <patternFill>
          <bgColor rgb="FFFF0000"/>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numFmt numFmtId="0" formatCode="General"/>
      <protection locked="1" hidden="0"/>
    </dxf>
    <dxf>
      <numFmt numFmtId="0" formatCode="General"/>
      <protection locked="0" hidden="0"/>
    </dxf>
    <dxf>
      <numFmt numFmtId="0" formatCode="General"/>
      <protection locked="0" hidden="0"/>
    </dxf>
    <dxf>
      <protection locked="0" hidden="0"/>
    </dxf>
    <dxf>
      <protection locked="0" hidden="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
      <numFmt numFmtId="0" formatCode="General"/>
    </dxf>
    <dxf>
      <numFmt numFmtId="0" formatCode="General"/>
    </dxf>
    <dxf>
      <numFmt numFmtId="0" formatCode="General"/>
    </dxf>
    <dxf>
      <numFmt numFmtId="0" formatCode="General"/>
    </dxf>
    <dxf>
      <numFmt numFmtId="0" formatCode="General"/>
    </dxf>
    <dxf>
      <numFmt numFmtId="165" formatCode="dd/mm/yyyy;@"/>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8</xdr:row>
      <xdr:rowOff>7620</xdr:rowOff>
    </xdr:from>
    <xdr:to>
      <xdr:col>2</xdr:col>
      <xdr:colOff>15240</xdr:colOff>
      <xdr:row>22</xdr:row>
      <xdr:rowOff>28575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0435A967-204A-BA14-524D-71804B7532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20" y="147066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8</xdr:row>
      <xdr:rowOff>7620</xdr:rowOff>
    </xdr:from>
    <xdr:to>
      <xdr:col>4</xdr:col>
      <xdr:colOff>426720</xdr:colOff>
      <xdr:row>22</xdr:row>
      <xdr:rowOff>28575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033986E-9DF8-2948-A448-3BACB30444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21180" y="147066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namile Mzimela" refreshedDate="46240.561065856484" backgroundQuery="1" createdVersion="8" refreshedVersion="8" minRefreshableVersion="3" recordCount="0" supportSubquery="1" supportAdvancedDrill="1" xr:uid="{177DCCAE-DF35-4CA0-AA0B-8BA228B4449E}">
  <cacheSource type="external" connectionId="15"/>
  <cacheFields count="3">
    <cacheField name="[Sales_All].[Region].[Region]" caption="Region" numFmtId="0" hierarchy="23" level="1">
      <sharedItems count="4">
        <s v="East"/>
        <s v="North"/>
        <s v="South"/>
        <s v="West"/>
      </sharedItems>
    </cacheField>
    <cacheField name="[Measures].[Sum of Revenue]" caption="Sum of Revenue" numFmtId="0" hierarchy="73" level="32767"/>
    <cacheField name="[Measures].[Sum of Profit]" caption="Sum of Profit" numFmtId="0" hierarchy="74" level="32767"/>
  </cacheFields>
  <cacheHierarchies count="76">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roper]" caption="Proper" attribute="1" defaultMemberUniqueName="[Customers].[Proper].[All]" allUniqueName="[Customers].[Prop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Extraction]" caption="Extraction" attribute="1" defaultMemberUniqueName="[Customers].[Extraction].[All]" allUniqueName="[Customers].[Extraction].[All]" dimensionUniqueName="[Customers]" displayFolder="" count="0" memberValueDatatype="130" unbalanced="0"/>
    <cacheHierarchy uniqueName="[Finance].[Month]" caption="Month" attribute="1" time="1" defaultMemberUniqueName="[Finance].[Month].[All]" allUniqueName="[Finance].[Month].[All]" dimensionUniqueName="[Finance]" displayFolder="" count="0" memberValueDatatype="7" unbalanced="0"/>
    <cacheHierarchy uniqueName="[Finance].[Overheads]" caption="Overheads" attribute="1" defaultMemberUniqueName="[Finance].[Overheads].[All]" allUniqueName="[Finance].[Overheads].[All]" dimensionUniqueName="[Finance]" displayFolder="" count="0" memberValueDatatype="20" unbalanced="0"/>
    <cacheHierarchy uniqueName="[Finance].[Salaries]" caption="Salaries" attribute="1" defaultMemberUniqueName="[Finance].[Salaries].[All]" allUniqueName="[Finance].[Salaries].[All]" dimensionUniqueName="[Finance]" displayFolder="" count="0" memberValueDatatype="20" unbalanced="0"/>
    <cacheHierarchy uniqueName="[Finance].[OtherExpenses]" caption="OtherExpenses" attribute="1" defaultMemberUniqueName="[Finance].[OtherExpenses].[All]" allUniqueName="[Finance].[OtherExpenses].[All]" dimensionUniqueName="[Finance]" displayFolder="" count="0" memberValueDatatype="20" unbalanced="0"/>
    <cacheHierarchy uniqueName="[Finance].[Net Profit]" caption="Net Profit" attribute="1" defaultMemberUniqueName="[Finance].[Net Profit].[All]" allUniqueName="[Finance].[Net Profit].[All]" dimensionUniqueName="[Finance]" displayFolder="" count="0" memberValueDatatype="20" unbalanced="0"/>
    <cacheHierarchy uniqueName="[Operations].[OrderID]" caption="OrderID" attribute="1" defaultMemberUniqueName="[Operations].[OrderID].[All]" allUniqueName="[Operations].[OrderID].[All]" dimensionUniqueName="[Operations]" displayFolder="" count="0" memberValueDatatype="130" unbalanced="0"/>
    <cacheHierarchy uniqueName="[Operations].[DeliveryDays]" caption="DeliveryDays" attribute="1" defaultMemberUniqueName="[Operations].[DeliveryDays].[All]" allUniqueName="[Operations].[DeliveryDays].[All]" dimensionUniqueName="[Operations]" displayFolder="" count="0" memberValueDatatype="20" unbalanced="0"/>
    <cacheHierarchy uniqueName="[Operations].[ReturnRate]" caption="ReturnRate" attribute="1" defaultMemberUniqueName="[Operations].[ReturnRate].[All]" allUniqueName="[Operations].[ReturnRate].[All]" dimensionUniqueName="[Operations]" displayFolder="" count="0" memberValueDatatype="5" unbalanced="0"/>
    <cacheHierarchy uniqueName="[Operations].[Operational Effeciency]" caption="Operational Effeciency" attribute="1" defaultMemberUniqueName="[Operations].[Operational Effeciency].[All]" allUniqueName="[Operations].[Operational Effeciency].[All]" dimensionUniqueName="[Operation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Products].[Discount]" caption="Discount" attribute="1" defaultMemberUniqueName="[Products].[Discount].[All]" allUniqueName="[Products].[Discount].[All]" dimensionUniqueName="[Products]" displayFolder="" count="0" memberValueDatatype="5" unbalanced="0"/>
    <cacheHierarchy uniqueName="[Sales_All].[OrderID]" caption="OrderID" attribute="1" defaultMemberUniqueName="[Sales_All].[OrderID].[All]" allUniqueName="[Sales_All].[OrderID].[All]" dimensionUniqueName="[Sales_All]" displayFolder="" count="0" memberValueDatatype="130" unbalanced="0"/>
    <cacheHierarchy uniqueName="[Sales_All].[Date]" caption="Date" attribute="1" time="1" defaultMemberUniqueName="[Sales_All].[Date].[All]" allUniqueName="[Sales_All].[Date].[All]" dimensionUniqueName="[Sales_All]" displayFolder="" count="0" memberValueDatatype="7" unbalanced="0"/>
    <cacheHierarchy uniqueName="[Sales_All].[Region]" caption="Region" attribute="1" defaultMemberUniqueName="[Sales_All].[Region].[All]" allUniqueName="[Sales_All].[Region].[All]" dimensionUniqueName="[Sales_All]" displayFolder="" count="2" memberValueDatatype="130" unbalanced="0">
      <fieldsUsage count="2">
        <fieldUsage x="-1"/>
        <fieldUsage x="0"/>
      </fieldsUsage>
    </cacheHierarchy>
    <cacheHierarchy uniqueName="[Sales_All].[CustomerID]" caption="CustomerID" attribute="1" defaultMemberUniqueName="[Sales_All].[CustomerID].[All]" allUniqueName="[Sales_All].[CustomerID].[All]" dimensionUniqueName="[Sales_All]" displayFolder="" count="0" memberValueDatatype="20" unbalanced="0"/>
    <cacheHierarchy uniqueName="[Sales_All].[Product]" caption="Product" attribute="1" defaultMemberUniqueName="[Sales_All].[Product].[All]" allUniqueName="[Sales_All].[Product].[All]" dimensionUniqueName="[Sales_All]" displayFolder="" count="0" memberValueDatatype="130" unbalanced="0"/>
    <cacheHierarchy uniqueName="[Sales_All].[Category]" caption="Category" attribute="1" defaultMemberUniqueName="[Sales_All].[Category].[All]" allUniqueName="[Sales_All].[Category].[All]" dimensionUniqueName="[Sales_All]" displayFolder="" count="0" memberValueDatatype="130" unbalanced="0"/>
    <cacheHierarchy uniqueName="[Sales_All].[UnitCost]" caption="UnitCost" attribute="1" defaultMemberUniqueName="[Sales_All].[UnitCost].[All]" allUniqueName="[Sales_All].[UnitCost].[All]" dimensionUniqueName="[Sales_All]" displayFolder="" count="0" memberValueDatatype="20" unbalanced="0"/>
    <cacheHierarchy uniqueName="[Sales_All].[Discount]" caption="Discount" attribute="1" defaultMemberUniqueName="[Sales_All].[Discount].[All]" allUniqueName="[Sales_All].[Discount].[All]" dimensionUniqueName="[Sales_All]" displayFolder="" count="0" memberValueDatatype="5" unbalanced="0"/>
    <cacheHierarchy uniqueName="[Sales_All].[Quantity]" caption="Quantity" attribute="1" defaultMemberUniqueName="[Sales_All].[Quantity].[All]" allUniqueName="[Sales_All].[Quantity].[All]" dimensionUniqueName="[Sales_All]" displayFolder="" count="0" memberValueDatatype="20" unbalanced="0"/>
    <cacheHierarchy uniqueName="[Sales_All].[UnitPrice]" caption="UnitPrice" attribute="1" defaultMemberUniqueName="[Sales_All].[UnitPrice].[All]" allUniqueName="[Sales_All].[UnitPrice].[All]" dimensionUniqueName="[Sales_All]" displayFolder="" count="0" memberValueDatatype="20" unbalanced="0"/>
    <cacheHierarchy uniqueName="[Sales_All].[Month]" caption="Month" attribute="1" time="1" defaultMemberUniqueName="[Sales_All].[Month].[All]" allUniqueName="[Sales_All].[Month].[All]" dimensionUniqueName="[Sales_All]" displayFolder="" count="0" memberValueDatatype="7" unbalanced="0"/>
    <cacheHierarchy uniqueName="[Sales_All].[Overheads]" caption="Overheads" attribute="1" defaultMemberUniqueName="[Sales_All].[Overheads].[All]" allUniqueName="[Sales_All].[Overheads].[All]" dimensionUniqueName="[Sales_All]" displayFolder="" count="0" memberValueDatatype="20" unbalanced="0"/>
    <cacheHierarchy uniqueName="[Sales_All].[Salaries]" caption="Salaries" attribute="1" defaultMemberUniqueName="[Sales_All].[Salaries].[All]" allUniqueName="[Sales_All].[Salaries].[All]" dimensionUniqueName="[Sales_All]" displayFolder="" count="0" memberValueDatatype="20" unbalanced="0"/>
    <cacheHierarchy uniqueName="[Sales_All].[Net Profit]" caption="Net Profit" attribute="1" defaultMemberUniqueName="[Sales_All].[Net Profit].[All]" allUniqueName="[Sales_All].[Net Profit].[All]" dimensionUniqueName="[Sales_All]" displayFolder="" count="0" memberValueDatatype="20" unbalanced="0"/>
    <cacheHierarchy uniqueName="[Sales_All].[Delivery Days]" caption="Delivery Days" attribute="1" defaultMemberUniqueName="[Sales_All].[Delivery Days].[All]" allUniqueName="[Sales_All].[Delivery Days].[All]" dimensionUniqueName="[Sales_All]" displayFolder="" count="0" memberValueDatatype="20" unbalanced="0"/>
    <cacheHierarchy uniqueName="[Sales_All].[Return Rate]" caption="Return Rate" attribute="1" defaultMemberUniqueName="[Sales_All].[Return Rate].[All]" allUniqueName="[Sales_All].[Return Rate].[All]" dimensionUniqueName="[Sales_All]" displayFolder="" count="0" memberValueDatatype="5" unbalanced="0"/>
    <cacheHierarchy uniqueName="[Sales_All].[Revenue]" caption="Revenue" attribute="1" defaultMemberUniqueName="[Sales_All].[Revenue].[All]" allUniqueName="[Sales_All].[Revenue].[All]" dimensionUniqueName="[Sales_All]" displayFolder="" count="0" memberValueDatatype="20" unbalanced="0"/>
    <cacheHierarchy uniqueName="[Sales_All].[Discounted Revenue]" caption="Discounted Revenue" attribute="1" defaultMemberUniqueName="[Sales_All].[Discounted Revenue].[All]" allUniqueName="[Sales_All].[Discounted Revenue].[All]" dimensionUniqueName="[Sales_All]" displayFolder="" count="0" memberValueDatatype="5" unbalanced="0"/>
    <cacheHierarchy uniqueName="[Sales_All].[Profit]" caption="Profit" attribute="1" defaultMemberUniqueName="[Sales_All].[Profit].[All]" allUniqueName="[Sales_All].[Profit].[All]" dimensionUniqueName="[Sales_All]" displayFolder="" count="0" memberValueDatatype="20" unbalanced="0"/>
    <cacheHierarchy uniqueName="[Sales_All].[Customer Type]" caption="Customer Type" attribute="1" defaultMemberUniqueName="[Sales_All].[Customer Type].[All]" allUniqueName="[Sales_All].[Customer Type].[All]" dimensionUniqueName="[Sales_All]" displayFolder="" count="0" memberValueDatatype="130" unbalanced="0"/>
    <cacheHierarchy uniqueName="[Sales_All].[Product Details]" caption="Product Details" attribute="1" defaultMemberUniqueName="[Sales_All].[Product Details].[All]" allUniqueName="[Sales_All].[Product Details].[All]" dimensionUniqueName="[Sales_All]" displayFolder="" count="0" memberValueDatatype="130" unbalanced="0"/>
    <cacheHierarchy uniqueName="[Sales_All].[Purchase]" caption="Purchase" attribute="1" defaultMemberUniqueName="[Sales_All].[Purchase].[All]" allUniqueName="[Sales_All].[Purchase].[All]" dimensionUniqueName="[Sales_All]" displayFolder="" count="0" memberValueDatatype="130" unbalanced="0"/>
    <cacheHierarchy uniqueName="[Sales_Q1  2].[OrderID]" caption="OrderID" attribute="1" defaultMemberUniqueName="[Sales_Q1  2].[OrderID].[All]" allUniqueName="[Sales_Q1  2].[OrderID].[All]" dimensionUniqueName="[Sales_Q1  2]" displayFolder="" count="0" memberValueDatatype="130" unbalanced="0"/>
    <cacheHierarchy uniqueName="[Sales_Q1  2].[Date]" caption="Date" attribute="1" defaultMemberUniqueName="[Sales_Q1  2].[Date].[All]" allUniqueName="[Sales_Q1  2].[Date].[All]" dimensionUniqueName="[Sales_Q1  2]" displayFolder="" count="0" memberValueDatatype="5" unbalanced="0"/>
    <cacheHierarchy uniqueName="[Sales_Q1  2].[Region]" caption="Region" attribute="1" defaultMemberUniqueName="[Sales_Q1  2].[Region].[All]" allUniqueName="[Sales_Q1  2].[Region].[All]" dimensionUniqueName="[Sales_Q1  2]" displayFolder="" count="0" memberValueDatatype="130" unbalanced="0"/>
    <cacheHierarchy uniqueName="[Sales_Q1  2].[CustomerID]" caption="CustomerID" attribute="1" defaultMemberUniqueName="[Sales_Q1  2].[CustomerID].[All]" allUniqueName="[Sales_Q1  2].[CustomerID].[All]" dimensionUniqueName="[Sales_Q1  2]" displayFolder="" count="0" memberValueDatatype="20" unbalanced="0"/>
    <cacheHierarchy uniqueName="[Sales_Q1  2].[Product]" caption="Product" attribute="1" defaultMemberUniqueName="[Sales_Q1  2].[Product].[All]" allUniqueName="[Sales_Q1  2].[Product].[All]" dimensionUniqueName="[Sales_Q1  2]" displayFolder="" count="0" memberValueDatatype="130" unbalanced="0"/>
    <cacheHierarchy uniqueName="[Sales_Q1  2].[Quantity]" caption="Quantity" attribute="1" defaultMemberUniqueName="[Sales_Q1  2].[Quantity].[All]" allUniqueName="[Sales_Q1  2].[Quantity].[All]" dimensionUniqueName="[Sales_Q1  2]" displayFolder="" count="0" memberValueDatatype="20" unbalanced="0"/>
    <cacheHierarchy uniqueName="[Sales_Q1  2].[UnitPrice]" caption="UnitPrice" attribute="1" defaultMemberUniqueName="[Sales_Q1  2].[UnitPrice].[All]" allUniqueName="[Sales_Q1  2].[UnitPrice].[All]" dimensionUniqueName="[Sales_Q1  2]" displayFolder="" count="0" memberValueDatatype="20" unbalanced="0"/>
    <cacheHierarchy uniqueName="[Sales_Q2].[OrderID]" caption="OrderID" attribute="1" defaultMemberUniqueName="[Sales_Q2].[OrderID].[All]" allUniqueName="[Sales_Q2].[OrderID].[All]" dimensionUniqueName="[Sales_Q2]" displayFolder="" count="0" memberValueDatatype="130" unbalanced="0"/>
    <cacheHierarchy uniqueName="[Sales_Q2].[Date]" caption="Date" attribute="1" defaultMemberUniqueName="[Sales_Q2].[Date].[All]" allUniqueName="[Sales_Q2].[Date].[All]" dimensionUniqueName="[Sales_Q2]" displayFolder="" count="0" memberValueDatatype="5" unbalanced="0"/>
    <cacheHierarchy uniqueName="[Sales_Q2].[Region]" caption="Region" attribute="1" defaultMemberUniqueName="[Sales_Q2].[Region].[All]" allUniqueName="[Sales_Q2].[Region].[All]" dimensionUniqueName="[Sales_Q2]" displayFolder="" count="0" memberValueDatatype="130" unbalanced="0"/>
    <cacheHierarchy uniqueName="[Sales_Q2].[CustomerID]" caption="CustomerID" attribute="1" defaultMemberUniqueName="[Sales_Q2].[CustomerID].[All]" allUniqueName="[Sales_Q2].[CustomerID].[All]" dimensionUniqueName="[Sales_Q2]" displayFolder="" count="0" memberValueDatatype="20" unbalanced="0"/>
    <cacheHierarchy uniqueName="[Sales_Q2].[Product]" caption="Product" attribute="1" defaultMemberUniqueName="[Sales_Q2].[Product].[All]" allUniqueName="[Sales_Q2].[Product].[All]" dimensionUniqueName="[Sales_Q2]" displayFolder="" count="0" memberValueDatatype="130" unbalanced="0"/>
    <cacheHierarchy uniqueName="[Sales_Q2].[Quantity]" caption="Quantity" attribute="1" defaultMemberUniqueName="[Sales_Q2].[Quantity].[All]" allUniqueName="[Sales_Q2].[Quantity].[All]" dimensionUniqueName="[Sales_Q2]" displayFolder="" count="0" memberValueDatatype="20" unbalanced="0"/>
    <cacheHierarchy uniqueName="[Sales_Q2].[UnitPrice]" caption="UnitPrice" attribute="1" defaultMemberUniqueName="[Sales_Q2].[UnitPrice].[All]" allUniqueName="[Sales_Q2].[UnitPrice].[All]" dimensionUniqueName="[Sales_Q2]" displayFolder="" count="0" memberValueDatatype="20" unbalanced="0"/>
    <cacheHierarchy uniqueName="[Sales_Q3].[OrderID]" caption="OrderID" attribute="1" defaultMemberUniqueName="[Sales_Q3].[OrderID].[All]" allUniqueName="[Sales_Q3].[OrderID].[All]" dimensionUniqueName="[Sales_Q3]" displayFolder="" count="0" memberValueDatatype="130" unbalanced="0"/>
    <cacheHierarchy uniqueName="[Sales_Q3].[Date]" caption="Date" attribute="1" defaultMemberUniqueName="[Sales_Q3].[Date].[All]" allUniqueName="[Sales_Q3].[Date].[All]" dimensionUniqueName="[Sales_Q3]" displayFolder="" count="0" memberValueDatatype="5" unbalanced="0"/>
    <cacheHierarchy uniqueName="[Sales_Q3].[Region]" caption="Region" attribute="1" defaultMemberUniqueName="[Sales_Q3].[Region].[All]" allUniqueName="[Sales_Q3].[Region].[All]" dimensionUniqueName="[Sales_Q3]" displayFolder="" count="0" memberValueDatatype="130" unbalanced="0"/>
    <cacheHierarchy uniqueName="[Sales_Q3].[CustomerID]" caption="CustomerID" attribute="1" defaultMemberUniqueName="[Sales_Q3].[CustomerID].[All]" allUniqueName="[Sales_Q3].[CustomerID].[All]" dimensionUniqueName="[Sales_Q3]" displayFolder="" count="0" memberValueDatatype="20" unbalanced="0"/>
    <cacheHierarchy uniqueName="[Sales_Q3].[Product]" caption="Product" attribute="1" defaultMemberUniqueName="[Sales_Q3].[Product].[All]" allUniqueName="[Sales_Q3].[Product].[All]" dimensionUniqueName="[Sales_Q3]" displayFolder="" count="0" memberValueDatatype="130" unbalanced="0"/>
    <cacheHierarchy uniqueName="[Sales_Q3].[Quantity]" caption="Quantity" attribute="1" defaultMemberUniqueName="[Sales_Q3].[Quantity].[All]" allUniqueName="[Sales_Q3].[Quantity].[All]" dimensionUniqueName="[Sales_Q3]" displayFolder="" count="0" memberValueDatatype="20" unbalanced="0"/>
    <cacheHierarchy uniqueName="[Sales_Q3].[UnitPrice]" caption="UnitPrice" attribute="1" defaultMemberUniqueName="[Sales_Q3].[UnitPrice].[All]" allUniqueName="[Sales_Q3].[UnitPrice].[All]" dimensionUniqueName="[Sales_Q3]" displayFolder="" count="0" memberValueDatatype="20" unbalanced="0"/>
    <cacheHierarchy uniqueName="[Measures].[__XL_Count Sales_Q1  2]" caption="__XL_Count Sales_Q1  2" measure="1" displayFolder="" measureGroup="Sales_Q1  2" count="0" hidden="1"/>
    <cacheHierarchy uniqueName="[Measures].[__XL_Count Sales_Q2]" caption="__XL_Count Sales_Q2" measure="1" displayFolder="" measureGroup="Sales_Q2" count="0" hidden="1"/>
    <cacheHierarchy uniqueName="[Measures].[__XL_Count Sales_Q3]" caption="__XL_Count Sales_Q3" measure="1" displayFolder="" measureGroup="Sales_Q3"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Finance]" caption="__XL_Count Finance" measure="1" displayFolder="" measureGroup="Finance" count="0" hidden="1"/>
    <cacheHierarchy uniqueName="[Measures].[__XL_Count Operations]" caption="__XL_Count Operations" measure="1" displayFolder="" measureGroup="Operations" count="0" hidden="1"/>
    <cacheHierarchy uniqueName="[Measures].[__XL_Count Sales_All]" caption="__XL_Count Sales_All" measure="1" displayFolder="" measureGroup="Sales_All" count="0" hidden="1"/>
    <cacheHierarchy uniqueName="[Measures].[__No measures defined]" caption="__No measures defined" measure="1" displayFolder="" count="0" hidden="1"/>
    <cacheHierarchy uniqueName="[Measures].[Sum of Revenue]" caption="Sum of Revenue" measure="1" displayFolder="" measureGroup="Sales_All"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Profit]" caption="Sum of Profit" measure="1" displayFolder="" measureGroup="Sales_All"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Net Profit]" caption="Sum of Net Profit" measure="1" displayFolder="" measureGroup="Sales_All" count="0" hidden="1">
      <extLst>
        <ext xmlns:x15="http://schemas.microsoft.com/office/spreadsheetml/2010/11/main" uri="{B97F6D7D-B522-45F9-BDA1-12C45D357490}">
          <x15:cacheHierarchy aggregatedColumn="34"/>
        </ext>
      </extLst>
    </cacheHierarchy>
  </cacheHierarchies>
  <kpis count="0"/>
  <dimensions count="9">
    <dimension name="Customers" uniqueName="[Customers]" caption="Customers"/>
    <dimension name="Finance" uniqueName="[Finance]" caption="Finance"/>
    <dimension measure="1" name="Measures" uniqueName="[Measures]" caption="Measures"/>
    <dimension name="Operations" uniqueName="[Operations]" caption="Operations"/>
    <dimension name="Products" uniqueName="[Products]" caption="Products"/>
    <dimension name="Sales_All" uniqueName="[Sales_All]" caption="Sales_All"/>
    <dimension name="Sales_Q1  2" uniqueName="[Sales_Q1  2]" caption="Sales_Q1  2"/>
    <dimension name="Sales_Q2" uniqueName="[Sales_Q2]" caption="Sales_Q2"/>
    <dimension name="Sales_Q3" uniqueName="[Sales_Q3]" caption="Sales_Q3"/>
  </dimensions>
  <measureGroups count="8">
    <measureGroup name="Customers" caption="Customers"/>
    <measureGroup name="Finance" caption="Finance"/>
    <measureGroup name="Operations" caption="Operations"/>
    <measureGroup name="Products" caption="Products"/>
    <measureGroup name="Sales_All" caption="Sales_All"/>
    <measureGroup name="Sales_Q1  2" caption="Sales_Q1  2"/>
    <measureGroup name="Sales_Q2" caption="Sales_Q2"/>
    <measureGroup name="Sales_Q3" caption="Sales_Q3"/>
  </measureGroups>
  <maps count="8">
    <map measureGroup="0" dimension="0"/>
    <map measureGroup="1" dimension="1"/>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namile Mzimela" refreshedDate="46240.563067939816" backgroundQuery="1" createdVersion="8" refreshedVersion="8" minRefreshableVersion="3" recordCount="0" supportSubquery="1" supportAdvancedDrill="1" xr:uid="{24D073BB-0717-4EF8-AC71-576CCEEB1EA7}">
  <cacheSource type="external" connectionId="15"/>
  <cacheFields count="2">
    <cacheField name="[Sales_All].[Category].[Category]" caption="Category" numFmtId="0" hierarchy="26" level="1">
      <sharedItems count="3">
        <s v="Accessories"/>
        <s v="Electronics"/>
        <s v="Office"/>
      </sharedItems>
    </cacheField>
    <cacheField name="[Measures].[Sum of Net Profit]" caption="Sum of Net Profit" numFmtId="0" hierarchy="75" level="32767"/>
  </cacheFields>
  <cacheHierarchies count="76">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roper]" caption="Proper" attribute="1" defaultMemberUniqueName="[Customers].[Proper].[All]" allUniqueName="[Customers].[Prop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Extraction]" caption="Extraction" attribute="1" defaultMemberUniqueName="[Customers].[Extraction].[All]" allUniqueName="[Customers].[Extraction].[All]" dimensionUniqueName="[Customers]" displayFolder="" count="0" memberValueDatatype="130" unbalanced="0"/>
    <cacheHierarchy uniqueName="[Finance].[Month]" caption="Month" attribute="1" time="1" defaultMemberUniqueName="[Finance].[Month].[All]" allUniqueName="[Finance].[Month].[All]" dimensionUniqueName="[Finance]" displayFolder="" count="0" memberValueDatatype="7" unbalanced="0"/>
    <cacheHierarchy uniqueName="[Finance].[Overheads]" caption="Overheads" attribute="1" defaultMemberUniqueName="[Finance].[Overheads].[All]" allUniqueName="[Finance].[Overheads].[All]" dimensionUniqueName="[Finance]" displayFolder="" count="0" memberValueDatatype="20" unbalanced="0"/>
    <cacheHierarchy uniqueName="[Finance].[Salaries]" caption="Salaries" attribute="1" defaultMemberUniqueName="[Finance].[Salaries].[All]" allUniqueName="[Finance].[Salaries].[All]" dimensionUniqueName="[Finance]" displayFolder="" count="0" memberValueDatatype="20" unbalanced="0"/>
    <cacheHierarchy uniqueName="[Finance].[OtherExpenses]" caption="OtherExpenses" attribute="1" defaultMemberUniqueName="[Finance].[OtherExpenses].[All]" allUniqueName="[Finance].[OtherExpenses].[All]" dimensionUniqueName="[Finance]" displayFolder="" count="0" memberValueDatatype="20" unbalanced="0"/>
    <cacheHierarchy uniqueName="[Finance].[Net Profit]" caption="Net Profit" attribute="1" defaultMemberUniqueName="[Finance].[Net Profit].[All]" allUniqueName="[Finance].[Net Profit].[All]" dimensionUniqueName="[Finance]" displayFolder="" count="0" memberValueDatatype="20" unbalanced="0"/>
    <cacheHierarchy uniqueName="[Operations].[OrderID]" caption="OrderID" attribute="1" defaultMemberUniqueName="[Operations].[OrderID].[All]" allUniqueName="[Operations].[OrderID].[All]" dimensionUniqueName="[Operations]" displayFolder="" count="0" memberValueDatatype="130" unbalanced="0"/>
    <cacheHierarchy uniqueName="[Operations].[DeliveryDays]" caption="DeliveryDays" attribute="1" defaultMemberUniqueName="[Operations].[DeliveryDays].[All]" allUniqueName="[Operations].[DeliveryDays].[All]" dimensionUniqueName="[Operations]" displayFolder="" count="0" memberValueDatatype="20" unbalanced="0"/>
    <cacheHierarchy uniqueName="[Operations].[ReturnRate]" caption="ReturnRate" attribute="1" defaultMemberUniqueName="[Operations].[ReturnRate].[All]" allUniqueName="[Operations].[ReturnRate].[All]" dimensionUniqueName="[Operations]" displayFolder="" count="0" memberValueDatatype="5" unbalanced="0"/>
    <cacheHierarchy uniqueName="[Operations].[Operational Effeciency]" caption="Operational Effeciency" attribute="1" defaultMemberUniqueName="[Operations].[Operational Effeciency].[All]" allUniqueName="[Operations].[Operational Effeciency].[All]" dimensionUniqueName="[Operation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Products].[Discount]" caption="Discount" attribute="1" defaultMemberUniqueName="[Products].[Discount].[All]" allUniqueName="[Products].[Discount].[All]" dimensionUniqueName="[Products]" displayFolder="" count="0" memberValueDatatype="5" unbalanced="0"/>
    <cacheHierarchy uniqueName="[Sales_All].[OrderID]" caption="OrderID" attribute="1" defaultMemberUniqueName="[Sales_All].[OrderID].[All]" allUniqueName="[Sales_All].[OrderID].[All]" dimensionUniqueName="[Sales_All]" displayFolder="" count="0" memberValueDatatype="130" unbalanced="0"/>
    <cacheHierarchy uniqueName="[Sales_All].[Date]" caption="Date" attribute="1" time="1" defaultMemberUniqueName="[Sales_All].[Date].[All]" allUniqueName="[Sales_All].[Date].[All]" dimensionUniqueName="[Sales_All]" displayFolder="" count="0" memberValueDatatype="7" unbalanced="0"/>
    <cacheHierarchy uniqueName="[Sales_All].[Region]" caption="Region" attribute="1" defaultMemberUniqueName="[Sales_All].[Region].[All]" allUniqueName="[Sales_All].[Region].[All]" dimensionUniqueName="[Sales_All]" displayFolder="" count="0" memberValueDatatype="130" unbalanced="0"/>
    <cacheHierarchy uniqueName="[Sales_All].[CustomerID]" caption="CustomerID" attribute="1" defaultMemberUniqueName="[Sales_All].[CustomerID].[All]" allUniqueName="[Sales_All].[CustomerID].[All]" dimensionUniqueName="[Sales_All]" displayFolder="" count="0" memberValueDatatype="20" unbalanced="0"/>
    <cacheHierarchy uniqueName="[Sales_All].[Product]" caption="Product" attribute="1" defaultMemberUniqueName="[Sales_All].[Product].[All]" allUniqueName="[Sales_All].[Product].[All]" dimensionUniqueName="[Sales_All]" displayFolder="" count="0" memberValueDatatype="130" unbalanced="0"/>
    <cacheHierarchy uniqueName="[Sales_All].[Category]" caption="Category" attribute="1" defaultMemberUniqueName="[Sales_All].[Category].[All]" allUniqueName="[Sales_All].[Category].[All]" dimensionUniqueName="[Sales_All]" displayFolder="" count="2" memberValueDatatype="130" unbalanced="0">
      <fieldsUsage count="2">
        <fieldUsage x="-1"/>
        <fieldUsage x="0"/>
      </fieldsUsage>
    </cacheHierarchy>
    <cacheHierarchy uniqueName="[Sales_All].[UnitCost]" caption="UnitCost" attribute="1" defaultMemberUniqueName="[Sales_All].[UnitCost].[All]" allUniqueName="[Sales_All].[UnitCost].[All]" dimensionUniqueName="[Sales_All]" displayFolder="" count="0" memberValueDatatype="20" unbalanced="0"/>
    <cacheHierarchy uniqueName="[Sales_All].[Discount]" caption="Discount" attribute="1" defaultMemberUniqueName="[Sales_All].[Discount].[All]" allUniqueName="[Sales_All].[Discount].[All]" dimensionUniqueName="[Sales_All]" displayFolder="" count="0" memberValueDatatype="5" unbalanced="0"/>
    <cacheHierarchy uniqueName="[Sales_All].[Quantity]" caption="Quantity" attribute="1" defaultMemberUniqueName="[Sales_All].[Quantity].[All]" allUniqueName="[Sales_All].[Quantity].[All]" dimensionUniqueName="[Sales_All]" displayFolder="" count="0" memberValueDatatype="20" unbalanced="0"/>
    <cacheHierarchy uniqueName="[Sales_All].[UnitPrice]" caption="UnitPrice" attribute="1" defaultMemberUniqueName="[Sales_All].[UnitPrice].[All]" allUniqueName="[Sales_All].[UnitPrice].[All]" dimensionUniqueName="[Sales_All]" displayFolder="" count="0" memberValueDatatype="20" unbalanced="0"/>
    <cacheHierarchy uniqueName="[Sales_All].[Month]" caption="Month" attribute="1" time="1" defaultMemberUniqueName="[Sales_All].[Month].[All]" allUniqueName="[Sales_All].[Month].[All]" dimensionUniqueName="[Sales_All]" displayFolder="" count="0" memberValueDatatype="7" unbalanced="0"/>
    <cacheHierarchy uniqueName="[Sales_All].[Overheads]" caption="Overheads" attribute="1" defaultMemberUniqueName="[Sales_All].[Overheads].[All]" allUniqueName="[Sales_All].[Overheads].[All]" dimensionUniqueName="[Sales_All]" displayFolder="" count="0" memberValueDatatype="20" unbalanced="0"/>
    <cacheHierarchy uniqueName="[Sales_All].[Salaries]" caption="Salaries" attribute="1" defaultMemberUniqueName="[Sales_All].[Salaries].[All]" allUniqueName="[Sales_All].[Salaries].[All]" dimensionUniqueName="[Sales_All]" displayFolder="" count="0" memberValueDatatype="20" unbalanced="0"/>
    <cacheHierarchy uniqueName="[Sales_All].[Net Profit]" caption="Net Profit" attribute="1" defaultMemberUniqueName="[Sales_All].[Net Profit].[All]" allUniqueName="[Sales_All].[Net Profit].[All]" dimensionUniqueName="[Sales_All]" displayFolder="" count="0" memberValueDatatype="20" unbalanced="0"/>
    <cacheHierarchy uniqueName="[Sales_All].[Delivery Days]" caption="Delivery Days" attribute="1" defaultMemberUniqueName="[Sales_All].[Delivery Days].[All]" allUniqueName="[Sales_All].[Delivery Days].[All]" dimensionUniqueName="[Sales_All]" displayFolder="" count="0" memberValueDatatype="20" unbalanced="0"/>
    <cacheHierarchy uniqueName="[Sales_All].[Return Rate]" caption="Return Rate" attribute="1" defaultMemberUniqueName="[Sales_All].[Return Rate].[All]" allUniqueName="[Sales_All].[Return Rate].[All]" dimensionUniqueName="[Sales_All]" displayFolder="" count="0" memberValueDatatype="5" unbalanced="0"/>
    <cacheHierarchy uniqueName="[Sales_All].[Revenue]" caption="Revenue" attribute="1" defaultMemberUniqueName="[Sales_All].[Revenue].[All]" allUniqueName="[Sales_All].[Revenue].[All]" dimensionUniqueName="[Sales_All]" displayFolder="" count="0" memberValueDatatype="20" unbalanced="0"/>
    <cacheHierarchy uniqueName="[Sales_All].[Discounted Revenue]" caption="Discounted Revenue" attribute="1" defaultMemberUniqueName="[Sales_All].[Discounted Revenue].[All]" allUniqueName="[Sales_All].[Discounted Revenue].[All]" dimensionUniqueName="[Sales_All]" displayFolder="" count="0" memberValueDatatype="5" unbalanced="0"/>
    <cacheHierarchy uniqueName="[Sales_All].[Profit]" caption="Profit" attribute="1" defaultMemberUniqueName="[Sales_All].[Profit].[All]" allUniqueName="[Sales_All].[Profit].[All]" dimensionUniqueName="[Sales_All]" displayFolder="" count="0" memberValueDatatype="20" unbalanced="0"/>
    <cacheHierarchy uniqueName="[Sales_All].[Customer Type]" caption="Customer Type" attribute="1" defaultMemberUniqueName="[Sales_All].[Customer Type].[All]" allUniqueName="[Sales_All].[Customer Type].[All]" dimensionUniqueName="[Sales_All]" displayFolder="" count="0" memberValueDatatype="130" unbalanced="0"/>
    <cacheHierarchy uniqueName="[Sales_All].[Product Details]" caption="Product Details" attribute="1" defaultMemberUniqueName="[Sales_All].[Product Details].[All]" allUniqueName="[Sales_All].[Product Details].[All]" dimensionUniqueName="[Sales_All]" displayFolder="" count="0" memberValueDatatype="130" unbalanced="0"/>
    <cacheHierarchy uniqueName="[Sales_All].[Purchase]" caption="Purchase" attribute="1" defaultMemberUniqueName="[Sales_All].[Purchase].[All]" allUniqueName="[Sales_All].[Purchase].[All]" dimensionUniqueName="[Sales_All]" displayFolder="" count="0" memberValueDatatype="130" unbalanced="0"/>
    <cacheHierarchy uniqueName="[Sales_Q1  2].[OrderID]" caption="OrderID" attribute="1" defaultMemberUniqueName="[Sales_Q1  2].[OrderID].[All]" allUniqueName="[Sales_Q1  2].[OrderID].[All]" dimensionUniqueName="[Sales_Q1  2]" displayFolder="" count="0" memberValueDatatype="130" unbalanced="0"/>
    <cacheHierarchy uniqueName="[Sales_Q1  2].[Date]" caption="Date" attribute="1" defaultMemberUniqueName="[Sales_Q1  2].[Date].[All]" allUniqueName="[Sales_Q1  2].[Date].[All]" dimensionUniqueName="[Sales_Q1  2]" displayFolder="" count="0" memberValueDatatype="5" unbalanced="0"/>
    <cacheHierarchy uniqueName="[Sales_Q1  2].[Region]" caption="Region" attribute="1" defaultMemberUniqueName="[Sales_Q1  2].[Region].[All]" allUniqueName="[Sales_Q1  2].[Region].[All]" dimensionUniqueName="[Sales_Q1  2]" displayFolder="" count="0" memberValueDatatype="130" unbalanced="0"/>
    <cacheHierarchy uniqueName="[Sales_Q1  2].[CustomerID]" caption="CustomerID" attribute="1" defaultMemberUniqueName="[Sales_Q1  2].[CustomerID].[All]" allUniqueName="[Sales_Q1  2].[CustomerID].[All]" dimensionUniqueName="[Sales_Q1  2]" displayFolder="" count="0" memberValueDatatype="20" unbalanced="0"/>
    <cacheHierarchy uniqueName="[Sales_Q1  2].[Product]" caption="Product" attribute="1" defaultMemberUniqueName="[Sales_Q1  2].[Product].[All]" allUniqueName="[Sales_Q1  2].[Product].[All]" dimensionUniqueName="[Sales_Q1  2]" displayFolder="" count="0" memberValueDatatype="130" unbalanced="0"/>
    <cacheHierarchy uniqueName="[Sales_Q1  2].[Quantity]" caption="Quantity" attribute="1" defaultMemberUniqueName="[Sales_Q1  2].[Quantity].[All]" allUniqueName="[Sales_Q1  2].[Quantity].[All]" dimensionUniqueName="[Sales_Q1  2]" displayFolder="" count="0" memberValueDatatype="20" unbalanced="0"/>
    <cacheHierarchy uniqueName="[Sales_Q1  2].[UnitPrice]" caption="UnitPrice" attribute="1" defaultMemberUniqueName="[Sales_Q1  2].[UnitPrice].[All]" allUniqueName="[Sales_Q1  2].[UnitPrice].[All]" dimensionUniqueName="[Sales_Q1  2]" displayFolder="" count="0" memberValueDatatype="20" unbalanced="0"/>
    <cacheHierarchy uniqueName="[Sales_Q2].[OrderID]" caption="OrderID" attribute="1" defaultMemberUniqueName="[Sales_Q2].[OrderID].[All]" allUniqueName="[Sales_Q2].[OrderID].[All]" dimensionUniqueName="[Sales_Q2]" displayFolder="" count="0" memberValueDatatype="130" unbalanced="0"/>
    <cacheHierarchy uniqueName="[Sales_Q2].[Date]" caption="Date" attribute="1" defaultMemberUniqueName="[Sales_Q2].[Date].[All]" allUniqueName="[Sales_Q2].[Date].[All]" dimensionUniqueName="[Sales_Q2]" displayFolder="" count="0" memberValueDatatype="5" unbalanced="0"/>
    <cacheHierarchy uniqueName="[Sales_Q2].[Region]" caption="Region" attribute="1" defaultMemberUniqueName="[Sales_Q2].[Region].[All]" allUniqueName="[Sales_Q2].[Region].[All]" dimensionUniqueName="[Sales_Q2]" displayFolder="" count="0" memberValueDatatype="130" unbalanced="0"/>
    <cacheHierarchy uniqueName="[Sales_Q2].[CustomerID]" caption="CustomerID" attribute="1" defaultMemberUniqueName="[Sales_Q2].[CustomerID].[All]" allUniqueName="[Sales_Q2].[CustomerID].[All]" dimensionUniqueName="[Sales_Q2]" displayFolder="" count="0" memberValueDatatype="20" unbalanced="0"/>
    <cacheHierarchy uniqueName="[Sales_Q2].[Product]" caption="Product" attribute="1" defaultMemberUniqueName="[Sales_Q2].[Product].[All]" allUniqueName="[Sales_Q2].[Product].[All]" dimensionUniqueName="[Sales_Q2]" displayFolder="" count="0" memberValueDatatype="130" unbalanced="0"/>
    <cacheHierarchy uniqueName="[Sales_Q2].[Quantity]" caption="Quantity" attribute="1" defaultMemberUniqueName="[Sales_Q2].[Quantity].[All]" allUniqueName="[Sales_Q2].[Quantity].[All]" dimensionUniqueName="[Sales_Q2]" displayFolder="" count="0" memberValueDatatype="20" unbalanced="0"/>
    <cacheHierarchy uniqueName="[Sales_Q2].[UnitPrice]" caption="UnitPrice" attribute="1" defaultMemberUniqueName="[Sales_Q2].[UnitPrice].[All]" allUniqueName="[Sales_Q2].[UnitPrice].[All]" dimensionUniqueName="[Sales_Q2]" displayFolder="" count="0" memberValueDatatype="20" unbalanced="0"/>
    <cacheHierarchy uniqueName="[Sales_Q3].[OrderID]" caption="OrderID" attribute="1" defaultMemberUniqueName="[Sales_Q3].[OrderID].[All]" allUniqueName="[Sales_Q3].[OrderID].[All]" dimensionUniqueName="[Sales_Q3]" displayFolder="" count="0" memberValueDatatype="130" unbalanced="0"/>
    <cacheHierarchy uniqueName="[Sales_Q3].[Date]" caption="Date" attribute="1" defaultMemberUniqueName="[Sales_Q3].[Date].[All]" allUniqueName="[Sales_Q3].[Date].[All]" dimensionUniqueName="[Sales_Q3]" displayFolder="" count="0" memberValueDatatype="5" unbalanced="0"/>
    <cacheHierarchy uniqueName="[Sales_Q3].[Region]" caption="Region" attribute="1" defaultMemberUniqueName="[Sales_Q3].[Region].[All]" allUniqueName="[Sales_Q3].[Region].[All]" dimensionUniqueName="[Sales_Q3]" displayFolder="" count="0" memberValueDatatype="130" unbalanced="0"/>
    <cacheHierarchy uniqueName="[Sales_Q3].[CustomerID]" caption="CustomerID" attribute="1" defaultMemberUniqueName="[Sales_Q3].[CustomerID].[All]" allUniqueName="[Sales_Q3].[CustomerID].[All]" dimensionUniqueName="[Sales_Q3]" displayFolder="" count="0" memberValueDatatype="20" unbalanced="0"/>
    <cacheHierarchy uniqueName="[Sales_Q3].[Product]" caption="Product" attribute="1" defaultMemberUniqueName="[Sales_Q3].[Product].[All]" allUniqueName="[Sales_Q3].[Product].[All]" dimensionUniqueName="[Sales_Q3]" displayFolder="" count="0" memberValueDatatype="130" unbalanced="0"/>
    <cacheHierarchy uniqueName="[Sales_Q3].[Quantity]" caption="Quantity" attribute="1" defaultMemberUniqueName="[Sales_Q3].[Quantity].[All]" allUniqueName="[Sales_Q3].[Quantity].[All]" dimensionUniqueName="[Sales_Q3]" displayFolder="" count="0" memberValueDatatype="20" unbalanced="0"/>
    <cacheHierarchy uniqueName="[Sales_Q3].[UnitPrice]" caption="UnitPrice" attribute="1" defaultMemberUniqueName="[Sales_Q3].[UnitPrice].[All]" allUniqueName="[Sales_Q3].[UnitPrice].[All]" dimensionUniqueName="[Sales_Q3]" displayFolder="" count="0" memberValueDatatype="20" unbalanced="0"/>
    <cacheHierarchy uniqueName="[Measures].[__XL_Count Sales_Q1  2]" caption="__XL_Count Sales_Q1  2" measure="1" displayFolder="" measureGroup="Sales_Q1  2" count="0" hidden="1"/>
    <cacheHierarchy uniqueName="[Measures].[__XL_Count Sales_Q2]" caption="__XL_Count Sales_Q2" measure="1" displayFolder="" measureGroup="Sales_Q2" count="0" hidden="1"/>
    <cacheHierarchy uniqueName="[Measures].[__XL_Count Sales_Q3]" caption="__XL_Count Sales_Q3" measure="1" displayFolder="" measureGroup="Sales_Q3"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Finance]" caption="__XL_Count Finance" measure="1" displayFolder="" measureGroup="Finance" count="0" hidden="1"/>
    <cacheHierarchy uniqueName="[Measures].[__XL_Count Operations]" caption="__XL_Count Operations" measure="1" displayFolder="" measureGroup="Operations" count="0" hidden="1"/>
    <cacheHierarchy uniqueName="[Measures].[__XL_Count Sales_All]" caption="__XL_Count Sales_All" measure="1" displayFolder="" measureGroup="Sales_All" count="0" hidden="1"/>
    <cacheHierarchy uniqueName="[Measures].[__No measures defined]" caption="__No measures defined" measure="1" displayFolder="" count="0" hidden="1"/>
    <cacheHierarchy uniqueName="[Measures].[Sum of Revenue]" caption="Sum of Revenue" measure="1" displayFolder="" measureGroup="Sales_All"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Sales_All" count="0" hidden="1">
      <extLst>
        <ext xmlns:x15="http://schemas.microsoft.com/office/spreadsheetml/2010/11/main" uri="{B97F6D7D-B522-45F9-BDA1-12C45D357490}">
          <x15:cacheHierarchy aggregatedColumn="39"/>
        </ext>
      </extLst>
    </cacheHierarchy>
    <cacheHierarchy uniqueName="[Measures].[Sum of Net Profit]" caption="Sum of Net Profit" measure="1" displayFolder="" measureGroup="Sales_All"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9">
    <dimension name="Customers" uniqueName="[Customers]" caption="Customers"/>
    <dimension name="Finance" uniqueName="[Finance]" caption="Finance"/>
    <dimension measure="1" name="Measures" uniqueName="[Measures]" caption="Measures"/>
    <dimension name="Operations" uniqueName="[Operations]" caption="Operations"/>
    <dimension name="Products" uniqueName="[Products]" caption="Products"/>
    <dimension name="Sales_All" uniqueName="[Sales_All]" caption="Sales_All"/>
    <dimension name="Sales_Q1  2" uniqueName="[Sales_Q1  2]" caption="Sales_Q1  2"/>
    <dimension name="Sales_Q2" uniqueName="[Sales_Q2]" caption="Sales_Q2"/>
    <dimension name="Sales_Q3" uniqueName="[Sales_Q3]" caption="Sales_Q3"/>
  </dimensions>
  <measureGroups count="8">
    <measureGroup name="Customers" caption="Customers"/>
    <measureGroup name="Finance" caption="Finance"/>
    <measureGroup name="Operations" caption="Operations"/>
    <measureGroup name="Products" caption="Products"/>
    <measureGroup name="Sales_All" caption="Sales_All"/>
    <measureGroup name="Sales_Q1  2" caption="Sales_Q1  2"/>
    <measureGroup name="Sales_Q2" caption="Sales_Q2"/>
    <measureGroup name="Sales_Q3" caption="Sales_Q3"/>
  </measureGroups>
  <maps count="8">
    <map measureGroup="0" dimension="0"/>
    <map measureGroup="1" dimension="1"/>
    <map measureGroup="2" dimension="3"/>
    <map measureGroup="3" dimension="4"/>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namile Mzimela" refreshedDate="46240.561062615743" backgroundQuery="1" createdVersion="3" refreshedVersion="8" minRefreshableVersion="3" recordCount="0" supportSubquery="1" supportAdvancedDrill="1" xr:uid="{B23F3898-1E95-4071-914F-826CEA179F7C}">
  <cacheSource type="external" connectionId="15">
    <extLst>
      <ext xmlns:x14="http://schemas.microsoft.com/office/spreadsheetml/2009/9/main" uri="{F057638F-6D5F-4e77-A914-E7F072B9BCA8}">
        <x14:sourceConnection name="ThisWorkbookDataModel"/>
      </ext>
    </extLst>
  </cacheSource>
  <cacheFields count="0"/>
  <cacheHierarchies count="75">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roper]" caption="Proper" attribute="1" defaultMemberUniqueName="[Customers].[Proper].[All]" allUniqueName="[Customers].[Prop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Extraction]" caption="Extraction" attribute="1" defaultMemberUniqueName="[Customers].[Extraction].[All]" allUniqueName="[Customers].[Extraction].[All]" dimensionUniqueName="[Customers]" displayFolder="" count="0" memberValueDatatype="130" unbalanced="0"/>
    <cacheHierarchy uniqueName="[Finance].[Month]" caption="Month" attribute="1" time="1" defaultMemberUniqueName="[Finance].[Month].[All]" allUniqueName="[Finance].[Month].[All]" dimensionUniqueName="[Finance]" displayFolder="" count="0" memberValueDatatype="7" unbalanced="0"/>
    <cacheHierarchy uniqueName="[Finance].[Overheads]" caption="Overheads" attribute="1" defaultMemberUniqueName="[Finance].[Overheads].[All]" allUniqueName="[Finance].[Overheads].[All]" dimensionUniqueName="[Finance]" displayFolder="" count="0" memberValueDatatype="20" unbalanced="0"/>
    <cacheHierarchy uniqueName="[Finance].[Salaries]" caption="Salaries" attribute="1" defaultMemberUniqueName="[Finance].[Salaries].[All]" allUniqueName="[Finance].[Salaries].[All]" dimensionUniqueName="[Finance]" displayFolder="" count="0" memberValueDatatype="20" unbalanced="0"/>
    <cacheHierarchy uniqueName="[Finance].[OtherExpenses]" caption="OtherExpenses" attribute="1" defaultMemberUniqueName="[Finance].[OtherExpenses].[All]" allUniqueName="[Finance].[OtherExpenses].[All]" dimensionUniqueName="[Finance]" displayFolder="" count="0" memberValueDatatype="20" unbalanced="0"/>
    <cacheHierarchy uniqueName="[Finance].[Net Profit]" caption="Net Profit" attribute="1" defaultMemberUniqueName="[Finance].[Net Profit].[All]" allUniqueName="[Finance].[Net Profit].[All]" dimensionUniqueName="[Finance]" displayFolder="" count="0" memberValueDatatype="20" unbalanced="0"/>
    <cacheHierarchy uniqueName="[Operations].[OrderID]" caption="OrderID" attribute="1" defaultMemberUniqueName="[Operations].[OrderID].[All]" allUniqueName="[Operations].[OrderID].[All]" dimensionUniqueName="[Operations]" displayFolder="" count="0" memberValueDatatype="130" unbalanced="0"/>
    <cacheHierarchy uniqueName="[Operations].[DeliveryDays]" caption="DeliveryDays" attribute="1" defaultMemberUniqueName="[Operations].[DeliveryDays].[All]" allUniqueName="[Operations].[DeliveryDays].[All]" dimensionUniqueName="[Operations]" displayFolder="" count="0" memberValueDatatype="20" unbalanced="0"/>
    <cacheHierarchy uniqueName="[Operations].[ReturnRate]" caption="ReturnRate" attribute="1" defaultMemberUniqueName="[Operations].[ReturnRate].[All]" allUniqueName="[Operations].[ReturnRate].[All]" dimensionUniqueName="[Operations]" displayFolder="" count="0" memberValueDatatype="5" unbalanced="0"/>
    <cacheHierarchy uniqueName="[Operations].[Operational Effeciency]" caption="Operational Effeciency" attribute="1" defaultMemberUniqueName="[Operations].[Operational Effeciency].[All]" allUniqueName="[Operations].[Operational Effeciency].[All]" dimensionUniqueName="[Operation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Products].[UnitCost]" caption="UnitCost" attribute="1" defaultMemberUniqueName="[Products].[UnitCost].[All]" allUniqueName="[Products].[UnitCost].[All]" dimensionUniqueName="[Products]" displayFolder="" count="0" memberValueDatatype="20" unbalanced="0"/>
    <cacheHierarchy uniqueName="[Products].[Discount]" caption="Discount" attribute="1" defaultMemberUniqueName="[Products].[Discount].[All]" allUniqueName="[Products].[Discount].[All]" dimensionUniqueName="[Products]" displayFolder="" count="0" memberValueDatatype="5" unbalanced="0"/>
    <cacheHierarchy uniqueName="[Sales_All].[OrderID]" caption="OrderID" attribute="1" defaultMemberUniqueName="[Sales_All].[OrderID].[All]" allUniqueName="[Sales_All].[OrderID].[All]" dimensionUniqueName="[Sales_All]" displayFolder="" count="0" memberValueDatatype="130" unbalanced="0"/>
    <cacheHierarchy uniqueName="[Sales_All].[Date]" caption="Date" attribute="1" time="1" defaultMemberUniqueName="[Sales_All].[Date].[All]" allUniqueName="[Sales_All].[Date].[All]" dimensionUniqueName="[Sales_All]" displayFolder="" count="0" memberValueDatatype="7" unbalanced="0"/>
    <cacheHierarchy uniqueName="[Sales_All].[Region]" caption="Region" attribute="1" defaultMemberUniqueName="[Sales_All].[Region].[All]" allUniqueName="[Sales_All].[Region].[All]" dimensionUniqueName="[Sales_All]" displayFolder="" count="2" memberValueDatatype="130" unbalanced="0"/>
    <cacheHierarchy uniqueName="[Sales_All].[CustomerID]" caption="CustomerID" attribute="1" defaultMemberUniqueName="[Sales_All].[CustomerID].[All]" allUniqueName="[Sales_All].[CustomerID].[All]" dimensionUniqueName="[Sales_All]" displayFolder="" count="0" memberValueDatatype="20" unbalanced="0"/>
    <cacheHierarchy uniqueName="[Sales_All].[Product]" caption="Product" attribute="1" defaultMemberUniqueName="[Sales_All].[Product].[All]" allUniqueName="[Sales_All].[Product].[All]" dimensionUniqueName="[Sales_All]" displayFolder="" count="0" memberValueDatatype="130" unbalanced="0"/>
    <cacheHierarchy uniqueName="[Sales_All].[Category]" caption="Category" attribute="1" defaultMemberUniqueName="[Sales_All].[Category].[All]" allUniqueName="[Sales_All].[Category].[All]" dimensionUniqueName="[Sales_All]" displayFolder="" count="2" memberValueDatatype="130" unbalanced="0"/>
    <cacheHierarchy uniqueName="[Sales_All].[UnitCost]" caption="UnitCost" attribute="1" defaultMemberUniqueName="[Sales_All].[UnitCost].[All]" allUniqueName="[Sales_All].[UnitCost].[All]" dimensionUniqueName="[Sales_All]" displayFolder="" count="0" memberValueDatatype="20" unbalanced="0"/>
    <cacheHierarchy uniqueName="[Sales_All].[Discount]" caption="Discount" attribute="1" defaultMemberUniqueName="[Sales_All].[Discount].[All]" allUniqueName="[Sales_All].[Discount].[All]" dimensionUniqueName="[Sales_All]" displayFolder="" count="0" memberValueDatatype="5" unbalanced="0"/>
    <cacheHierarchy uniqueName="[Sales_All].[Quantity]" caption="Quantity" attribute="1" defaultMemberUniqueName="[Sales_All].[Quantity].[All]" allUniqueName="[Sales_All].[Quantity].[All]" dimensionUniqueName="[Sales_All]" displayFolder="" count="0" memberValueDatatype="20" unbalanced="0"/>
    <cacheHierarchy uniqueName="[Sales_All].[UnitPrice]" caption="UnitPrice" attribute="1" defaultMemberUniqueName="[Sales_All].[UnitPrice].[All]" allUniqueName="[Sales_All].[UnitPrice].[All]" dimensionUniqueName="[Sales_All]" displayFolder="" count="0" memberValueDatatype="20" unbalanced="0"/>
    <cacheHierarchy uniqueName="[Sales_All].[Month]" caption="Month" attribute="1" time="1" defaultMemberUniqueName="[Sales_All].[Month].[All]" allUniqueName="[Sales_All].[Month].[All]" dimensionUniqueName="[Sales_All]" displayFolder="" count="0" memberValueDatatype="7" unbalanced="0"/>
    <cacheHierarchy uniqueName="[Sales_All].[Overheads]" caption="Overheads" attribute="1" defaultMemberUniqueName="[Sales_All].[Overheads].[All]" allUniqueName="[Sales_All].[Overheads].[All]" dimensionUniqueName="[Sales_All]" displayFolder="" count="0" memberValueDatatype="20" unbalanced="0"/>
    <cacheHierarchy uniqueName="[Sales_All].[Salaries]" caption="Salaries" attribute="1" defaultMemberUniqueName="[Sales_All].[Salaries].[All]" allUniqueName="[Sales_All].[Salaries].[All]" dimensionUniqueName="[Sales_All]" displayFolder="" count="0" memberValueDatatype="20" unbalanced="0"/>
    <cacheHierarchy uniqueName="[Sales_All].[Net Profit]" caption="Net Profit" attribute="1" defaultMemberUniqueName="[Sales_All].[Net Profit].[All]" allUniqueName="[Sales_All].[Net Profit].[All]" dimensionUniqueName="[Sales_All]" displayFolder="" count="0" memberValueDatatype="20" unbalanced="0"/>
    <cacheHierarchy uniqueName="[Sales_All].[Delivery Days]" caption="Delivery Days" attribute="1" defaultMemberUniqueName="[Sales_All].[Delivery Days].[All]" allUniqueName="[Sales_All].[Delivery Days].[All]" dimensionUniqueName="[Sales_All]" displayFolder="" count="0" memberValueDatatype="20" unbalanced="0"/>
    <cacheHierarchy uniqueName="[Sales_All].[Return Rate]" caption="Return Rate" attribute="1" defaultMemberUniqueName="[Sales_All].[Return Rate].[All]" allUniqueName="[Sales_All].[Return Rate].[All]" dimensionUniqueName="[Sales_All]" displayFolder="" count="0" memberValueDatatype="5" unbalanced="0"/>
    <cacheHierarchy uniqueName="[Sales_All].[Revenue]" caption="Revenue" attribute="1" defaultMemberUniqueName="[Sales_All].[Revenue].[All]" allUniqueName="[Sales_All].[Revenue].[All]" dimensionUniqueName="[Sales_All]" displayFolder="" count="0" memberValueDatatype="20" unbalanced="0"/>
    <cacheHierarchy uniqueName="[Sales_All].[Discounted Revenue]" caption="Discounted Revenue" attribute="1" defaultMemberUniqueName="[Sales_All].[Discounted Revenue].[All]" allUniqueName="[Sales_All].[Discounted Revenue].[All]" dimensionUniqueName="[Sales_All]" displayFolder="" count="0" memberValueDatatype="5" unbalanced="0"/>
    <cacheHierarchy uniqueName="[Sales_All].[Profit]" caption="Profit" attribute="1" defaultMemberUniqueName="[Sales_All].[Profit].[All]" allUniqueName="[Sales_All].[Profit].[All]" dimensionUniqueName="[Sales_All]" displayFolder="" count="0" memberValueDatatype="20" unbalanced="0"/>
    <cacheHierarchy uniqueName="[Sales_All].[Customer Type]" caption="Customer Type" attribute="1" defaultMemberUniqueName="[Sales_All].[Customer Type].[All]" allUniqueName="[Sales_All].[Customer Type].[All]" dimensionUniqueName="[Sales_All]" displayFolder="" count="0" memberValueDatatype="130" unbalanced="0"/>
    <cacheHierarchy uniqueName="[Sales_All].[Product Details]" caption="Product Details" attribute="1" defaultMemberUniqueName="[Sales_All].[Product Details].[All]" allUniqueName="[Sales_All].[Product Details].[All]" dimensionUniqueName="[Sales_All]" displayFolder="" count="0" memberValueDatatype="130" unbalanced="0"/>
    <cacheHierarchy uniqueName="[Sales_All].[Purchase]" caption="Purchase" attribute="1" defaultMemberUniqueName="[Sales_All].[Purchase].[All]" allUniqueName="[Sales_All].[Purchase].[All]" dimensionUniqueName="[Sales_All]" displayFolder="" count="0" memberValueDatatype="130" unbalanced="0"/>
    <cacheHierarchy uniqueName="[Sales_Q1  2].[OrderID]" caption="OrderID" attribute="1" defaultMemberUniqueName="[Sales_Q1  2].[OrderID].[All]" allUniqueName="[Sales_Q1  2].[OrderID].[All]" dimensionUniqueName="[Sales_Q1  2]" displayFolder="" count="0" memberValueDatatype="130" unbalanced="0"/>
    <cacheHierarchy uniqueName="[Sales_Q1  2].[Date]" caption="Date" attribute="1" defaultMemberUniqueName="[Sales_Q1  2].[Date].[All]" allUniqueName="[Sales_Q1  2].[Date].[All]" dimensionUniqueName="[Sales_Q1  2]" displayFolder="" count="0" memberValueDatatype="5" unbalanced="0"/>
    <cacheHierarchy uniqueName="[Sales_Q1  2].[Region]" caption="Region" attribute="1" defaultMemberUniqueName="[Sales_Q1  2].[Region].[All]" allUniqueName="[Sales_Q1  2].[Region].[All]" dimensionUniqueName="[Sales_Q1  2]" displayFolder="" count="0" memberValueDatatype="130" unbalanced="0"/>
    <cacheHierarchy uniqueName="[Sales_Q1  2].[CustomerID]" caption="CustomerID" attribute="1" defaultMemberUniqueName="[Sales_Q1  2].[CustomerID].[All]" allUniqueName="[Sales_Q1  2].[CustomerID].[All]" dimensionUniqueName="[Sales_Q1  2]" displayFolder="" count="0" memberValueDatatype="20" unbalanced="0"/>
    <cacheHierarchy uniqueName="[Sales_Q1  2].[Product]" caption="Product" attribute="1" defaultMemberUniqueName="[Sales_Q1  2].[Product].[All]" allUniqueName="[Sales_Q1  2].[Product].[All]" dimensionUniqueName="[Sales_Q1  2]" displayFolder="" count="0" memberValueDatatype="130" unbalanced="0"/>
    <cacheHierarchy uniqueName="[Sales_Q1  2].[Quantity]" caption="Quantity" attribute="1" defaultMemberUniqueName="[Sales_Q1  2].[Quantity].[All]" allUniqueName="[Sales_Q1  2].[Quantity].[All]" dimensionUniqueName="[Sales_Q1  2]" displayFolder="" count="0" memberValueDatatype="20" unbalanced="0"/>
    <cacheHierarchy uniqueName="[Sales_Q1  2].[UnitPrice]" caption="UnitPrice" attribute="1" defaultMemberUniqueName="[Sales_Q1  2].[UnitPrice].[All]" allUniqueName="[Sales_Q1  2].[UnitPrice].[All]" dimensionUniqueName="[Sales_Q1  2]" displayFolder="" count="0" memberValueDatatype="20" unbalanced="0"/>
    <cacheHierarchy uniqueName="[Sales_Q2].[OrderID]" caption="OrderID" attribute="1" defaultMemberUniqueName="[Sales_Q2].[OrderID].[All]" allUniqueName="[Sales_Q2].[OrderID].[All]" dimensionUniqueName="[Sales_Q2]" displayFolder="" count="0" memberValueDatatype="130" unbalanced="0"/>
    <cacheHierarchy uniqueName="[Sales_Q2].[Date]" caption="Date" attribute="1" defaultMemberUniqueName="[Sales_Q2].[Date].[All]" allUniqueName="[Sales_Q2].[Date].[All]" dimensionUniqueName="[Sales_Q2]" displayFolder="" count="0" memberValueDatatype="5" unbalanced="0"/>
    <cacheHierarchy uniqueName="[Sales_Q2].[Region]" caption="Region" attribute="1" defaultMemberUniqueName="[Sales_Q2].[Region].[All]" allUniqueName="[Sales_Q2].[Region].[All]" dimensionUniqueName="[Sales_Q2]" displayFolder="" count="0" memberValueDatatype="130" unbalanced="0"/>
    <cacheHierarchy uniqueName="[Sales_Q2].[CustomerID]" caption="CustomerID" attribute="1" defaultMemberUniqueName="[Sales_Q2].[CustomerID].[All]" allUniqueName="[Sales_Q2].[CustomerID].[All]" dimensionUniqueName="[Sales_Q2]" displayFolder="" count="0" memberValueDatatype="20" unbalanced="0"/>
    <cacheHierarchy uniqueName="[Sales_Q2].[Product]" caption="Product" attribute="1" defaultMemberUniqueName="[Sales_Q2].[Product].[All]" allUniqueName="[Sales_Q2].[Product].[All]" dimensionUniqueName="[Sales_Q2]" displayFolder="" count="0" memberValueDatatype="130" unbalanced="0"/>
    <cacheHierarchy uniqueName="[Sales_Q2].[Quantity]" caption="Quantity" attribute="1" defaultMemberUniqueName="[Sales_Q2].[Quantity].[All]" allUniqueName="[Sales_Q2].[Quantity].[All]" dimensionUniqueName="[Sales_Q2]" displayFolder="" count="0" memberValueDatatype="20" unbalanced="0"/>
    <cacheHierarchy uniqueName="[Sales_Q2].[UnitPrice]" caption="UnitPrice" attribute="1" defaultMemberUniqueName="[Sales_Q2].[UnitPrice].[All]" allUniqueName="[Sales_Q2].[UnitPrice].[All]" dimensionUniqueName="[Sales_Q2]" displayFolder="" count="0" memberValueDatatype="20" unbalanced="0"/>
    <cacheHierarchy uniqueName="[Sales_Q3].[OrderID]" caption="OrderID" attribute="1" defaultMemberUniqueName="[Sales_Q3].[OrderID].[All]" allUniqueName="[Sales_Q3].[OrderID].[All]" dimensionUniqueName="[Sales_Q3]" displayFolder="" count="0" memberValueDatatype="130" unbalanced="0"/>
    <cacheHierarchy uniqueName="[Sales_Q3].[Date]" caption="Date" attribute="1" defaultMemberUniqueName="[Sales_Q3].[Date].[All]" allUniqueName="[Sales_Q3].[Date].[All]" dimensionUniqueName="[Sales_Q3]" displayFolder="" count="0" memberValueDatatype="5" unbalanced="0"/>
    <cacheHierarchy uniqueName="[Sales_Q3].[Region]" caption="Region" attribute="1" defaultMemberUniqueName="[Sales_Q3].[Region].[All]" allUniqueName="[Sales_Q3].[Region].[All]" dimensionUniqueName="[Sales_Q3]" displayFolder="" count="0" memberValueDatatype="130" unbalanced="0"/>
    <cacheHierarchy uniqueName="[Sales_Q3].[CustomerID]" caption="CustomerID" attribute="1" defaultMemberUniqueName="[Sales_Q3].[CustomerID].[All]" allUniqueName="[Sales_Q3].[CustomerID].[All]" dimensionUniqueName="[Sales_Q3]" displayFolder="" count="0" memberValueDatatype="20" unbalanced="0"/>
    <cacheHierarchy uniqueName="[Sales_Q3].[Product]" caption="Product" attribute="1" defaultMemberUniqueName="[Sales_Q3].[Product].[All]" allUniqueName="[Sales_Q3].[Product].[All]" dimensionUniqueName="[Sales_Q3]" displayFolder="" count="0" memberValueDatatype="130" unbalanced="0"/>
    <cacheHierarchy uniqueName="[Sales_Q3].[Quantity]" caption="Quantity" attribute="1" defaultMemberUniqueName="[Sales_Q3].[Quantity].[All]" allUniqueName="[Sales_Q3].[Quantity].[All]" dimensionUniqueName="[Sales_Q3]" displayFolder="" count="0" memberValueDatatype="20" unbalanced="0"/>
    <cacheHierarchy uniqueName="[Sales_Q3].[UnitPrice]" caption="UnitPrice" attribute="1" defaultMemberUniqueName="[Sales_Q3].[UnitPrice].[All]" allUniqueName="[Sales_Q3].[UnitPrice].[All]" dimensionUniqueName="[Sales_Q3]" displayFolder="" count="0" memberValueDatatype="20" unbalanced="0"/>
    <cacheHierarchy uniqueName="[Measures].[__XL_Count Sales_Q1  2]" caption="__XL_Count Sales_Q1  2" measure="1" displayFolder="" measureGroup="Sales_Q1  2" count="0" hidden="1"/>
    <cacheHierarchy uniqueName="[Measures].[__XL_Count Sales_Q2]" caption="__XL_Count Sales_Q2" measure="1" displayFolder="" measureGroup="Sales_Q2" count="0" hidden="1"/>
    <cacheHierarchy uniqueName="[Measures].[__XL_Count Sales_Q3]" caption="__XL_Count Sales_Q3" measure="1" displayFolder="" measureGroup="Sales_Q3"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Finance]" caption="__XL_Count Finance" measure="1" displayFolder="" measureGroup="Finance" count="0" hidden="1"/>
    <cacheHierarchy uniqueName="[Measures].[__XL_Count Operations]" caption="__XL_Count Operations" measure="1" displayFolder="" measureGroup="Operations" count="0" hidden="1"/>
    <cacheHierarchy uniqueName="[Measures].[__XL_Count Sales_All]" caption="__XL_Count Sales_All" measure="1" displayFolder="" measureGroup="Sales_All" count="0" hidden="1"/>
    <cacheHierarchy uniqueName="[Measures].[__No measures defined]" caption="__No measures defined" measure="1" displayFolder="" count="0" hidden="1"/>
    <cacheHierarchy uniqueName="[Measures].[Sum of Revenue]" caption="Sum of Revenue" measure="1" displayFolder="" measureGroup="Sales_All"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Sales_All"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3086835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B4D997-ADC4-4D56-B590-816EDC824691}" name="Pivot_Region"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Revenue" fld="1" baseField="0" baseItem="0"/>
    <dataField name="Sum of Profit" fld="2"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All">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C91CC5-6779-4C84-BD18-947E137FA647}"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Net Profit" fld="1"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All">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9" xr16:uid="{1D9C60F4-1CB0-4D56-95D2-8B9C6187AC3F}" autoFormatId="16" applyNumberFormats="0" applyBorderFormats="0" applyFontFormats="0" applyPatternFormats="0" applyAlignmentFormats="0" applyWidthHeightFormats="0">
  <queryTableRefresh nextId="23" unboundColumnsRight="12">
    <queryTableFields count="22">
      <queryTableField id="1" name="OrderID" tableColumnId="1"/>
      <queryTableField id="2" name="Date" tableColumnId="2"/>
      <queryTableField id="3" name="Region" tableColumnId="3"/>
      <queryTableField id="4" name="CustomerID" tableColumnId="4"/>
      <queryTableField id="5" name="Product" tableColumnId="5"/>
      <queryTableField id="10" dataBound="0" tableColumnId="10"/>
      <queryTableField id="9" dataBound="0" tableColumnId="9"/>
      <queryTableField id="8" dataBound="0" tableColumnId="8"/>
      <queryTableField id="6" name="Quantity" tableColumnId="6"/>
      <queryTableField id="7" name="UnitPrice" tableColumnId="7"/>
      <queryTableField id="11" dataBound="0" tableColumnId="11"/>
      <queryTableField id="12" dataBound="0" tableColumnId="12"/>
      <queryTableField id="19" dataBound="0" tableColumnId="21"/>
      <queryTableField id="20" dataBound="0" tableColumnId="2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21" dataBound="0" tableColumnId="23"/>
      <queryTableField id="22" dataBound="0"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79164CA-1E38-4E48-8378-2A21B4124365}" autoFormatId="16" applyNumberFormats="0" applyBorderFormats="0" applyFontFormats="0" applyPatternFormats="0" applyAlignmentFormats="0" applyWidthHeightFormats="0">
  <queryTableRefresh nextId="10">
    <queryTableFields count="8">
      <queryTableField id="1" name="CustomerID" tableColumnId="1"/>
      <queryTableField id="2" name="FirstName" tableColumnId="2"/>
      <queryTableField id="3" name="LastName" tableColumnId="3"/>
      <queryTableField id="5" name="Email" tableColumnId="5"/>
      <queryTableField id="6" name="Region" tableColumnId="6"/>
      <queryTableField id="9" dataBound="0" tableColumnId="9"/>
      <queryTableField id="8" dataBound="0" tableColumnId="8"/>
      <queryTableField id="7" name="Extraction" tableColumnId="7"/>
    </queryTableFields>
    <queryTableDeletedFields count="1">
      <deletedField name="Proper"/>
    </queryTableDeleted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B7DDB87-BA85-4879-86B2-F5D5BFD166D5}" autoFormatId="16" applyNumberFormats="0" applyBorderFormats="0" applyFontFormats="0" applyPatternFormats="0" applyAlignmentFormats="0" applyWidthHeightFormats="0">
  <queryTableRefresh nextId="6">
    <queryTableFields count="5">
      <queryTableField id="1" name="Product" tableColumnId="1"/>
      <queryTableField id="2" name="Category" tableColumnId="2"/>
      <queryTableField id="3" name="UnitPrice" tableColumnId="3"/>
      <queryTableField id="4" name="UnitCost" tableColumnId="4"/>
      <queryTableField id="5" name="Discount" tableColumnId="5"/>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339CCBB0-9CAC-4676-B04E-0C588DBDE49F}" autoFormatId="16" applyNumberFormats="0" applyBorderFormats="0" applyFontFormats="0" applyPatternFormats="0" applyAlignmentFormats="0" applyWidthHeightFormats="0">
  <queryTableRefresh nextId="6">
    <queryTableFields count="5">
      <queryTableField id="1" name="Month" tableColumnId="1"/>
      <queryTableField id="2" name="Overheads" tableColumnId="2"/>
      <queryTableField id="3" name="Salaries" tableColumnId="3"/>
      <queryTableField id="4" name="OtherExpenses" tableColumnId="4"/>
      <queryTableField id="5" name="Net Profit" tableColumnId="5"/>
    </queryTableFields>
  </queryTableRefresh>
  <extLst>
    <ext xmlns:x15="http://schemas.microsoft.com/office/spreadsheetml/2010/11/main" uri="{883FBD77-0823-4a55-B5E3-86C4891E6966}">
      <x15:queryTable sourceDataName="Query - Financ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B7BF9E73-2FF8-422D-BC5F-48ACEF397A27}" autoFormatId="16" applyNumberFormats="0" applyBorderFormats="0" applyFontFormats="0" applyPatternFormats="0" applyAlignmentFormats="0" applyWidthHeightFormats="0">
  <queryTableRefresh nextId="5">
    <queryTableFields count="4">
      <queryTableField id="1" name="OrderID" tableColumnId="1"/>
      <queryTableField id="2" name="DeliveryDays" tableColumnId="2"/>
      <queryTableField id="3" name="ReturnRate" tableColumnId="3"/>
      <queryTableField id="4" name="Operational Effeciency" tableColumnId="4"/>
    </queryTableFields>
  </queryTableRefresh>
  <extLst>
    <ext xmlns:x15="http://schemas.microsoft.com/office/spreadsheetml/2010/11/main" uri="{883FBD77-0823-4a55-B5E3-86C4891E6966}">
      <x15:queryTable sourceDataName="Query - Operatio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F054C3-BC2E-483C-960F-0122C34396AA}" sourceName="[Sales_All].[Category]">
  <pivotTables>
    <pivotTable tabId="12" name="Pivot_Region"/>
  </pivotTables>
  <data>
    <olap pivotCacheId="308683508">
      <levels count="2">
        <level uniqueName="[Sales_All].[Category].[(All)]" sourceCaption="(All)" count="0"/>
        <level uniqueName="[Sales_All].[Category].[Category]" sourceCaption="Category" count="3">
          <ranges>
            <range startItem="0">
              <i n="[Sales_All].[Category].&amp;[Accessories]" c="Accessories"/>
              <i n="[Sales_All].[Category].&amp;[Electronics]" c="Electronics"/>
              <i n="[Sales_All].[Category].&amp;[Office]" c="Office"/>
            </range>
          </ranges>
        </level>
      </levels>
      <selections count="1">
        <selection n="[Sales_All].[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E293E0-2631-4674-A411-D993A883B630}" sourceName="[Sales_All].[Region]">
  <pivotTables>
    <pivotTable tabId="12" name="Pivot_Region"/>
  </pivotTables>
  <data>
    <olap pivotCacheId="308683508">
      <levels count="2">
        <level uniqueName="[Sales_All].[Region].[(All)]" sourceCaption="(All)" count="0"/>
        <level uniqueName="[Sales_All].[Region].[Region]" sourceCaption="Region" count="4">
          <ranges>
            <range startItem="0">
              <i n="[Sales_All].[Region].&amp;[East]" c="East"/>
              <i n="[Sales_All].[Region].&amp;[North]" c="North"/>
              <i n="[Sales_All].[Region].&amp;[South]" c="South"/>
              <i n="[Sales_All].[Region].&amp;[West]" c="West"/>
            </range>
          </ranges>
        </level>
      </levels>
      <selections count="1">
        <selection n="[Sales_All].[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38A5CB7-F054-4E8C-8CCE-0FC57514E019}" cache="Slicer_Category" caption="Category" level="1" rowHeight="247650"/>
  <slicer name="Region" xr10:uid="{0F7DCB5C-CC37-481B-9830-E6F394795D21}" cache="Slicer_Region" caption="Reg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969562-164C-4574-B45E-637A5BD0A233}" name="Sales_All" displayName="Sales_All" ref="A1:V91" tableType="queryTable" totalsRowShown="0">
  <autoFilter ref="A1:V91" xr:uid="{5F969562-164C-4574-B45E-637A5BD0A233}"/>
  <tableColumns count="22">
    <tableColumn id="1" xr3:uid="{11FCB61F-1BA5-4E2E-9B30-A30714AF161C}" uniqueName="1" name="OrderID" queryTableFieldId="1" dataDxfId="39"/>
    <tableColumn id="2" xr3:uid="{62157DB6-DDFB-4E14-87BB-650717BD2968}" uniqueName="2" name="Date" queryTableFieldId="2" dataDxfId="29"/>
    <tableColumn id="3" xr3:uid="{AA212A2E-3C3A-491E-B4A2-9DE70DEFCC22}" uniqueName="3" name="Region" queryTableFieldId="3" dataDxfId="10"/>
    <tableColumn id="4" xr3:uid="{78DE5612-9723-4A3C-BC0F-BC0F0B311DC4}" uniqueName="4" name="CustomerID" queryTableFieldId="4"/>
    <tableColumn id="5" xr3:uid="{1525DFC1-1F63-4677-9FA2-7C9E925A4EE9}" uniqueName="5" name="Product" queryTableFieldId="5" dataDxfId="9"/>
    <tableColumn id="10" xr3:uid="{E8DA4A69-9274-41E1-BD87-BB42BE8E2A08}" uniqueName="10" name="Category" queryTableFieldId="10" dataDxfId="26">
      <calculatedColumnFormula>_xlfn.XLOOKUP(Sales_All[[#This Row],[Product]], Product_List!A:A, Product_List!B:B,)</calculatedColumnFormula>
    </tableColumn>
    <tableColumn id="9" xr3:uid="{BC250970-6ACE-4403-B165-BDBB1AFE8732}" uniqueName="9" name="UnitCost" queryTableFieldId="9" dataDxfId="25">
      <calculatedColumnFormula>_xlfn.XLOOKUP(Sales_All[[#This Row],[Product]], Product_List!A:A, Product_List!D:D)</calculatedColumnFormula>
    </tableColumn>
    <tableColumn id="8" xr3:uid="{EB073564-B611-478B-87F7-65FB2BA833C1}" uniqueName="8" name="Discount" queryTableFieldId="8" dataDxfId="8">
      <calculatedColumnFormula>_xlfn.XLOOKUP(Sales_All[[#This Row],[Product]], Product_List!A:A, Product_List!E:E)</calculatedColumnFormula>
    </tableColumn>
    <tableColumn id="6" xr3:uid="{9538BFD5-78CB-45CC-8416-B501223D3BA8}" uniqueName="6" name="Quantity" queryTableFieldId="6" dataDxfId="12"/>
    <tableColumn id="7" xr3:uid="{1C2B8F8F-318A-4260-A722-665EF6642FD6}" uniqueName="7" name="UnitPrice" queryTableFieldId="7" dataDxfId="11"/>
    <tableColumn id="11" xr3:uid="{EE83EAD2-AAC7-42D1-ADE8-99E0AC5028D4}" uniqueName="11" name="Month" queryTableFieldId="11" dataDxfId="23">
      <calculatedColumnFormula>EOMONTH(Sales_All[[#This Row],[Date]],0)</calculatedColumnFormula>
    </tableColumn>
    <tableColumn id="12" xr3:uid="{D7D5E953-F22C-4FC8-9F71-0BA13628317D}" uniqueName="12" name="Overheads" queryTableFieldId="12" dataDxfId="24">
      <calculatedColumnFormula>_xlfn.XLOOKUP(Sales_All[[#This Row],[Month]], Finance_Data!A:A, Finance_Data!B:B)</calculatedColumnFormula>
    </tableColumn>
    <tableColumn id="21" xr3:uid="{5CA3F4DD-AC02-4EE9-992C-362207F94DDC}" uniqueName="21" name="Salaries" queryTableFieldId="19" dataDxfId="15">
      <calculatedColumnFormula>_xlfn.XLOOKUP(Sales_All[[#This Row],[Month]], Finance_Data!A:A, Finance_Data!C:C, 0)</calculatedColumnFormula>
    </tableColumn>
    <tableColumn id="22" xr3:uid="{F85F53A0-EEC8-42F6-8C5D-AFB04B10DAAE}" uniqueName="22" name="Net Profit" queryTableFieldId="20" dataDxfId="16">
      <calculatedColumnFormula>(Sales_All[[#This Row],[Quantity]]*Sales_All[[#This Row],[UnitPrice]]) - (Sales_All[[#This Row],[Quantity]]*Sales_All[[#This Row],[UnitCost]])  - Sales_All[[#This Row],[Overheads]] -Sales_All[[#This Row],[Salaries]]</calculatedColumnFormula>
    </tableColumn>
    <tableColumn id="13" xr3:uid="{EAE062E9-D6CC-4656-8E6B-FBD5FFB2B69F}" uniqueName="13" name="Delivery Days" queryTableFieldId="13" dataDxfId="22">
      <calculatedColumnFormula>_xlfn.XLOOKUP(Sales_All[[#This Row],[OrderID]], Operations_Data!A:A, Operations_Data!B:B)</calculatedColumnFormula>
    </tableColumn>
    <tableColumn id="14" xr3:uid="{19974CF0-5DCD-41FF-9D62-796A1A01D77E}" uniqueName="14" name="Return Rate" queryTableFieldId="14" dataDxfId="21">
      <calculatedColumnFormula>_xlfn.XLOOKUP(Sales_All[[#This Row],[OrderID]], Operations_Data!A:A, Operations_Data!C:C)</calculatedColumnFormula>
    </tableColumn>
    <tableColumn id="15" xr3:uid="{E847093A-AB80-4C5F-A0CC-AEA907299247}" uniqueName="15" name="Revenue" queryTableFieldId="15" dataDxfId="20">
      <calculatedColumnFormula>Sales_All[[#This Row],[Quantity]]*Sales_All[[#This Row],[UnitPrice]]</calculatedColumnFormula>
    </tableColumn>
    <tableColumn id="16" xr3:uid="{24496F26-4A4B-4BC4-81A1-51FCA9D6825F}" uniqueName="16" name="Discounted Revenue" queryTableFieldId="16" dataDxfId="19">
      <calculatedColumnFormula>Sales_All[[#This Row],[Revenue]]*(1-Sales_All[[#This Row],[Discount]])</calculatedColumnFormula>
    </tableColumn>
    <tableColumn id="17" xr3:uid="{E6FB7E91-C513-4FEF-817D-F25180221519}" uniqueName="17" name="Profit" queryTableFieldId="17" dataDxfId="18">
      <calculatedColumnFormula>Sales_All[[#This Row],[Revenue]] -(Sales_All[[#This Row],[Quantity]]*Sales_All[[#This Row],[UnitCost]])-Sales_All[[#This Row],[Overheads]]</calculatedColumnFormula>
    </tableColumn>
    <tableColumn id="18" xr3:uid="{20668433-DC8C-4461-AF9B-0267A6344B94}" uniqueName="18" name="Customer Type" queryTableFieldId="18" dataDxfId="17">
      <calculatedColumnFormula array="1">_xlfn.IFS(Sales_All[[#This Row],[Revenue]]&gt;50000,"VIP",Sales_All[[#This Row],[Revenue]]&gt;=20000,"Regular",Sales_All[[#This Row],[Revenue]]&lt;20000,"Low Value")</calculatedColumnFormula>
    </tableColumn>
    <tableColumn id="23" xr3:uid="{599AFBC2-E256-4BEC-9396-14DCB8416B91}" uniqueName="23" name="Product Details" queryTableFieldId="21" dataDxfId="14">
      <calculatedColumnFormula>INDEX(Product_List!B:B, MATCH(Sales_All[[#This Row],[Product]], Product_List!A:A, 0))</calculatedColumnFormula>
    </tableColumn>
    <tableColumn id="24" xr3:uid="{409F3D38-7519-47C9-B8FA-58210117A98F}" uniqueName="24" name="Purchase" queryTableFieldId="22" dataDxfId="13">
      <calculatedColumnFormula array="1">_xlfn.TEXTJOIN(", ", TRUE,IF(Sales_All[CustomerID] = Sales_All[[#This Row],[CustomerID]], Sales_All[Product], ""))</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82A7D8-DC65-47AE-8A53-7323009A9FAF}" name="Customers" displayName="Customers" ref="A1:H29" tableType="queryTable" totalsRowShown="0">
  <autoFilter ref="A1:H29" xr:uid="{DD82A7D8-DC65-47AE-8A53-7323009A9FAF}"/>
  <tableColumns count="8">
    <tableColumn id="1" xr3:uid="{13FF1794-BC8E-42A8-A2EF-FD5C28F2203C}" uniqueName="1" name="CustomerID" queryTableFieldId="1"/>
    <tableColumn id="2" xr3:uid="{FCC183AA-5732-48E0-92FD-9F63BF5A1592}" uniqueName="2" name="FirstName" queryTableFieldId="2" dataDxfId="38"/>
    <tableColumn id="3" xr3:uid="{2F46BC0E-2283-47A5-8797-C01C91F40364}" uniqueName="3" name="LastName" queryTableFieldId="3" dataDxfId="37"/>
    <tableColumn id="5" xr3:uid="{888EA5E4-9A94-4D3B-BD10-8C9CB7ECD49A}" uniqueName="5" name="Email" queryTableFieldId="5" dataDxfId="36"/>
    <tableColumn id="6" xr3:uid="{B211D97A-FE26-460E-B178-D7B9A3BBC283}" uniqueName="6" name="Region" queryTableFieldId="6" dataDxfId="35"/>
    <tableColumn id="9" xr3:uid="{BDA63B58-75C4-4741-9ABC-02C14F39509F}" uniqueName="9" name="ProperName" queryTableFieldId="9" dataDxfId="28">
      <calculatedColumnFormula>PROPER(Customers[[#This Row],[FirstName]])</calculatedColumnFormula>
    </tableColumn>
    <tableColumn id="8" xr3:uid="{26232CBC-FA3F-4575-A9AB-5426B574EB63}" uniqueName="8" name="ProperSurname" queryTableFieldId="8" dataDxfId="27">
      <calculatedColumnFormula>PROPER(Customers[[#This Row],[LastName]])</calculatedColumnFormula>
    </tableColumn>
    <tableColumn id="7" xr3:uid="{3692CA32-2EA8-4BC4-8AF7-7290289EFAA3}" uniqueName="7" name="Extraction" queryTableFieldId="7" dataDxfId="3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D26036-724E-4822-971B-9751D30C3463}" name="Products" displayName="Products" ref="A1:E7" tableType="queryTable" totalsRowShown="0">
  <autoFilter ref="A1:E7" xr:uid="{58D26036-724E-4822-971B-9751D30C3463}"/>
  <tableColumns count="5">
    <tableColumn id="1" xr3:uid="{C0D0B8F3-BD95-4966-871C-90506FB551B6}" uniqueName="1" name="Product" queryTableFieldId="1" dataDxfId="33"/>
    <tableColumn id="2" xr3:uid="{82204E0D-4D71-475C-9D8C-2585E67C29FD}" uniqueName="2" name="Category" queryTableFieldId="2" dataDxfId="32"/>
    <tableColumn id="3" xr3:uid="{EE408FBF-114D-4F4A-B236-97C2BB9928F0}" uniqueName="3" name="UnitPrice" queryTableFieldId="3"/>
    <tableColumn id="4" xr3:uid="{2FE4965E-EC6F-4101-AA2D-EA5E7D9CD6E7}" uniqueName="4" name="UnitCost" queryTableFieldId="4"/>
    <tableColumn id="5" xr3:uid="{EDBC74C9-E810-413A-B010-662BD651CC10}" uniqueName="5" name="Discount"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42160F-8A52-47F8-B26D-EC7F672766C4}" name="Finance" displayName="Finance" ref="A1:E10" tableType="queryTable" totalsRowShown="0">
  <autoFilter ref="A1:E10" xr:uid="{B442160F-8A52-47F8-B26D-EC7F672766C4}"/>
  <tableColumns count="5">
    <tableColumn id="1" xr3:uid="{24B914D3-09D9-4A57-BBF9-ABB0C33BE79D}" uniqueName="1" name="Month" queryTableFieldId="1" dataDxfId="31"/>
    <tableColumn id="2" xr3:uid="{D47124F4-B277-4EDF-B7DC-9E6F4AA01691}" uniqueName="2" name="Overheads" queryTableFieldId="2"/>
    <tableColumn id="3" xr3:uid="{85A79769-D792-461C-82D2-0C66C9A84246}" uniqueName="3" name="Salaries" queryTableFieldId="3"/>
    <tableColumn id="4" xr3:uid="{9D932B9A-C4D6-46E3-8B47-32BF06167B87}" uniqueName="4" name="OtherExpenses" queryTableFieldId="4"/>
    <tableColumn id="5" xr3:uid="{AB52FDD3-DC71-4FC6-9F27-0001D6387C04}" uniqueName="5" name="Net Profit"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035F80B-3D1D-4656-9023-535C108947B1}" name="Operations" displayName="Operations" ref="A1:D91" tableType="queryTable" totalsRowShown="0">
  <autoFilter ref="A1:D91" xr:uid="{3035F80B-3D1D-4656-9023-535C108947B1}"/>
  <tableColumns count="4">
    <tableColumn id="1" xr3:uid="{649138EE-503B-4B7E-9FD9-2D98E6D10ABB}" uniqueName="1" name="OrderID" queryTableFieldId="1" dataDxfId="30"/>
    <tableColumn id="2" xr3:uid="{29472D16-3324-45E7-882C-00BBAD695A34}" uniqueName="2" name="DeliveryDays" queryTableFieldId="2"/>
    <tableColumn id="3" xr3:uid="{C2F5089E-D9E6-487C-B7C1-57CC2E309D7E}" uniqueName="3" name="ReturnRate" queryTableFieldId="3"/>
    <tableColumn id="4" xr3:uid="{2CFEA6B4-BBB1-47DC-B0DA-69961DC6DD4D}" uniqueName="4" name="Operational Effeciency"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996D-DBFE-4D23-8E8E-B6D915332BAE}">
  <dimension ref="A3:C8"/>
  <sheetViews>
    <sheetView workbookViewId="0">
      <selection activeCell="G3" sqref="G3"/>
    </sheetView>
  </sheetViews>
  <sheetFormatPr defaultRowHeight="14.4" x14ac:dyDescent="0.3"/>
  <cols>
    <col min="1" max="1" width="12.44140625" bestFit="1" customWidth="1"/>
    <col min="2" max="2" width="14.109375" bestFit="1" customWidth="1"/>
    <col min="3" max="3" width="11.5546875" bestFit="1" customWidth="1"/>
  </cols>
  <sheetData>
    <row r="3" spans="1:3" x14ac:dyDescent="0.3">
      <c r="A3" s="8" t="s">
        <v>180</v>
      </c>
      <c r="B3" t="s">
        <v>182</v>
      </c>
      <c r="C3" t="s">
        <v>183</v>
      </c>
    </row>
    <row r="4" spans="1:3" x14ac:dyDescent="0.3">
      <c r="A4" s="9" t="s">
        <v>16</v>
      </c>
      <c r="B4" s="1">
        <v>104142</v>
      </c>
      <c r="C4" s="1">
        <v>-707979</v>
      </c>
    </row>
    <row r="5" spans="1:3" x14ac:dyDescent="0.3">
      <c r="A5" s="9" t="s">
        <v>19</v>
      </c>
      <c r="B5" s="1">
        <v>87013</v>
      </c>
      <c r="C5" s="1">
        <v>-717319</v>
      </c>
    </row>
    <row r="6" spans="1:3" x14ac:dyDescent="0.3">
      <c r="A6" s="9" t="s">
        <v>8</v>
      </c>
      <c r="B6" s="1">
        <v>124308</v>
      </c>
      <c r="C6" s="1">
        <v>-723765</v>
      </c>
    </row>
    <row r="7" spans="1:3" x14ac:dyDescent="0.3">
      <c r="A7" s="9" t="s">
        <v>13</v>
      </c>
      <c r="B7" s="1">
        <v>125799</v>
      </c>
      <c r="C7" s="1">
        <v>-718096</v>
      </c>
    </row>
    <row r="8" spans="1:3" x14ac:dyDescent="0.3">
      <c r="A8" s="9" t="s">
        <v>181</v>
      </c>
      <c r="B8" s="1">
        <v>441262</v>
      </c>
      <c r="C8" s="1">
        <v>-2867159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F171-071C-44DD-9FF3-636C9F5982C8}">
  <dimension ref="A3:B7"/>
  <sheetViews>
    <sheetView workbookViewId="0">
      <selection activeCell="N13" sqref="N13"/>
    </sheetView>
  </sheetViews>
  <sheetFormatPr defaultRowHeight="14.4" x14ac:dyDescent="0.3"/>
  <cols>
    <col min="1" max="1" width="12.44140625" bestFit="1" customWidth="1"/>
    <col min="2" max="2" width="15" bestFit="1" customWidth="1"/>
  </cols>
  <sheetData>
    <row r="3" spans="1:2" x14ac:dyDescent="0.3">
      <c r="A3" s="8" t="s">
        <v>180</v>
      </c>
      <c r="B3" t="s">
        <v>184</v>
      </c>
    </row>
    <row r="4" spans="1:2" x14ac:dyDescent="0.3">
      <c r="A4" s="9" t="s">
        <v>157</v>
      </c>
      <c r="B4" s="1">
        <v>-1887103</v>
      </c>
    </row>
    <row r="5" spans="1:2" x14ac:dyDescent="0.3">
      <c r="A5" s="9" t="s">
        <v>156</v>
      </c>
      <c r="B5" s="1">
        <v>-6156763</v>
      </c>
    </row>
    <row r="6" spans="1:2" x14ac:dyDescent="0.3">
      <c r="A6" s="9" t="s">
        <v>158</v>
      </c>
      <c r="B6" s="1">
        <v>-1524515</v>
      </c>
    </row>
    <row r="7" spans="1:2" x14ac:dyDescent="0.3">
      <c r="A7" s="9" t="s">
        <v>181</v>
      </c>
      <c r="B7" s="1">
        <v>-9568381</v>
      </c>
    </row>
  </sheetData>
  <conditionalFormatting sqref="A3:B7">
    <cfRule type="dataBar" priority="1">
      <dataBar>
        <cfvo type="min"/>
        <cfvo type="max"/>
        <color rgb="FFD6007B"/>
      </dataBar>
      <extLst>
        <ext xmlns:x14="http://schemas.microsoft.com/office/spreadsheetml/2009/9/main" uri="{B025F937-C7B1-47D3-B67F-A62EFF666E3E}">
          <x14:id>{B924A5F7-F2EC-47EF-B289-F643FEF46C55}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924A5F7-F2EC-47EF-B289-F643FEF46C55}">
            <x14:dataBar minLength="0" maxLength="100" gradient="0">
              <x14:cfvo type="autoMin"/>
              <x14:cfvo type="autoMax"/>
              <x14:negativeFillColor rgb="FFFF0000"/>
              <x14:axisColor rgb="FF000000"/>
            </x14:dataBar>
          </x14:cfRule>
          <xm:sqref>A3:B7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C262D-14E8-4A7B-9D68-D82850880914}">
  <dimension ref="A1:V91"/>
  <sheetViews>
    <sheetView topLeftCell="A2" workbookViewId="0">
      <selection sqref="A1:V91"/>
    </sheetView>
  </sheetViews>
  <sheetFormatPr defaultRowHeight="14.4" x14ac:dyDescent="0.3"/>
  <cols>
    <col min="1" max="1" width="9.77734375" bestFit="1" customWidth="1"/>
    <col min="2" max="2" width="12" style="3" bestFit="1" customWidth="1"/>
    <col min="3" max="3" width="8.77734375" style="4" bestFit="1" customWidth="1"/>
    <col min="4" max="4" width="13.109375" bestFit="1" customWidth="1"/>
    <col min="5" max="5" width="11.21875" style="4" bestFit="1" customWidth="1"/>
    <col min="6" max="7" width="11.21875" customWidth="1"/>
    <col min="8" max="8" width="11.21875" style="6" customWidth="1"/>
    <col min="9" max="9" width="10.33203125" style="4" bestFit="1" customWidth="1"/>
    <col min="10" max="10" width="11" style="4" bestFit="1" customWidth="1"/>
    <col min="11" max="11" width="10.33203125" style="3" bestFit="1" customWidth="1"/>
    <col min="12" max="12" width="12.109375" bestFit="1" customWidth="1"/>
    <col min="13" max="14" width="12.109375" customWidth="1"/>
    <col min="15" max="15" width="14.33203125" bestFit="1" customWidth="1"/>
    <col min="16" max="16" width="12.77734375" bestFit="1" customWidth="1"/>
    <col min="17" max="17" width="10.21875" bestFit="1" customWidth="1"/>
    <col min="18" max="18" width="20.21875" bestFit="1" customWidth="1"/>
    <col min="20" max="20" width="15.6640625" bestFit="1" customWidth="1"/>
    <col min="21" max="21" width="16.109375" bestFit="1" customWidth="1"/>
    <col min="22" max="22" width="64.77734375" bestFit="1" customWidth="1"/>
  </cols>
  <sheetData>
    <row r="1" spans="1:22" x14ac:dyDescent="0.3">
      <c r="A1" t="s">
        <v>0</v>
      </c>
      <c r="B1" s="3" t="s">
        <v>1</v>
      </c>
      <c r="C1" s="4" t="s">
        <v>2</v>
      </c>
      <c r="D1" t="s">
        <v>3</v>
      </c>
      <c r="E1" s="4" t="s">
        <v>4</v>
      </c>
      <c r="F1" t="s">
        <v>153</v>
      </c>
      <c r="G1" t="s">
        <v>154</v>
      </c>
      <c r="H1" s="6" t="s">
        <v>155</v>
      </c>
      <c r="I1" s="4" t="s">
        <v>5</v>
      </c>
      <c r="J1" s="4" t="s">
        <v>6</v>
      </c>
      <c r="K1" s="3" t="s">
        <v>159</v>
      </c>
      <c r="L1" t="s">
        <v>160</v>
      </c>
      <c r="M1" t="s">
        <v>161</v>
      </c>
      <c r="N1" t="s">
        <v>163</v>
      </c>
      <c r="O1" t="s">
        <v>169</v>
      </c>
      <c r="P1" t="s">
        <v>170</v>
      </c>
      <c r="Q1" t="s">
        <v>171</v>
      </c>
      <c r="R1" t="s">
        <v>172</v>
      </c>
      <c r="S1" t="s">
        <v>173</v>
      </c>
      <c r="T1" t="s">
        <v>174</v>
      </c>
      <c r="U1" t="s">
        <v>175</v>
      </c>
      <c r="V1" t="s">
        <v>178</v>
      </c>
    </row>
    <row r="2" spans="1:22" x14ac:dyDescent="0.3">
      <c r="A2" s="1" t="s">
        <v>7</v>
      </c>
      <c r="B2" s="3">
        <v>45708.027094907397</v>
      </c>
      <c r="C2" s="5" t="s">
        <v>8</v>
      </c>
      <c r="D2">
        <v>1018</v>
      </c>
      <c r="E2" s="5" t="s">
        <v>9</v>
      </c>
      <c r="F2" s="1" t="str">
        <f>_xlfn.XLOOKUP(Sales_All[[#This Row],[Product]], Product_List!A:A, Product_List!B:B,)</f>
        <v>Electronics</v>
      </c>
      <c r="G2" s="1">
        <f>_xlfn.XLOOKUP(Sales_All[[#This Row],[Product]], Product_List!A:A, Product_List!D:D)</f>
        <v>492</v>
      </c>
      <c r="H2" s="7">
        <f>_xlfn.XLOOKUP(Sales_All[[#This Row],[Product]], Product_List!A:A, Product_List!E:E)</f>
        <v>0.14000000000000001</v>
      </c>
      <c r="I2" s="4">
        <v>1</v>
      </c>
      <c r="J2" s="4">
        <v>730</v>
      </c>
      <c r="K2" s="3">
        <f>EOMONTH(Sales_All[[#This Row],[Date]],0)</f>
        <v>45716</v>
      </c>
      <c r="L2" s="1">
        <f>_xlfn.XLOOKUP(Sales_All[[#This Row],[Month]], Finance_Data!A:A, Finance_Data!B:B)</f>
        <v>43320</v>
      </c>
      <c r="M2" s="1">
        <f>_xlfn.XLOOKUP(Sales_All[[#This Row],[Month]], Finance_Data!A:A, Finance_Data!C:C, 0)</f>
        <v>70533</v>
      </c>
      <c r="N2" s="1">
        <f>(Sales_All[[#This Row],[Quantity]]*Sales_All[[#This Row],[UnitPrice]]) - (Sales_All[[#This Row],[Quantity]]*Sales_All[[#This Row],[UnitCost]])  - Sales_All[[#This Row],[Overheads]] -Sales_All[[#This Row],[Salaries]]</f>
        <v>-113615</v>
      </c>
      <c r="O2">
        <f>_xlfn.XLOOKUP(Sales_All[[#This Row],[OrderID]], Operations_Data!A:A, Operations_Data!B:B)</f>
        <v>5</v>
      </c>
      <c r="P2">
        <f>_xlfn.XLOOKUP(Sales_All[[#This Row],[OrderID]], Operations_Data!A:A, Operations_Data!C:C)</f>
        <v>0.01</v>
      </c>
      <c r="Q2" s="1">
        <f>Sales_All[[#This Row],[Quantity]]*Sales_All[[#This Row],[UnitPrice]]</f>
        <v>730</v>
      </c>
      <c r="R2" s="1">
        <f>Sales_All[[#This Row],[Revenue]]*(1-Sales_All[[#This Row],[Discount]])</f>
        <v>627.79999999999995</v>
      </c>
      <c r="S2" s="1">
        <f>Sales_All[[#This Row],[Revenue]] -(Sales_All[[#This Row],[Quantity]]*Sales_All[[#This Row],[UnitCost]])-Sales_All[[#This Row],[Overheads]]</f>
        <v>-43082</v>
      </c>
      <c r="T2" s="1" t="str" cm="1">
        <f t="array" ref="T2">_xlfn.IFS(Sales_All[[#This Row],[Revenue]]&gt;50000,"VIP",Sales_All[[#This Row],[Revenue]]&gt;=20000,"Regular",Sales_All[[#This Row],[Revenue]]&lt;20000,"Low Value")</f>
        <v>Low Value</v>
      </c>
      <c r="U2" s="1" t="str">
        <f>INDEX(Product_List!B:B, MATCH(Sales_All[[#This Row],[Product]], Product_List!A:A, 0))</f>
        <v>Electronics</v>
      </c>
      <c r="V2" s="1" t="str" cm="1">
        <f t="array" ref="V2">_xlfn.TEXTJOIN(", ", TRUE,IF(Sales_All[CustomerID] = Sales_All[[#This Row],[CustomerID]], Sales_All[Product], ""))</f>
        <v>Tablet, Smartphone, Headphones, Headphones, Monitor, Laptop</v>
      </c>
    </row>
    <row r="3" spans="1:22" x14ac:dyDescent="0.3">
      <c r="A3" s="1" t="s">
        <v>10</v>
      </c>
      <c r="B3" s="3">
        <v>45712.236793981479</v>
      </c>
      <c r="C3" s="5" t="s">
        <v>8</v>
      </c>
      <c r="D3">
        <v>1004</v>
      </c>
      <c r="E3" s="5" t="s">
        <v>11</v>
      </c>
      <c r="F3" s="1" t="str">
        <f>_xlfn.XLOOKUP(Sales_All[[#This Row],[Product]], Product_List!A:A, Product_List!B:B,)</f>
        <v>Accessories</v>
      </c>
      <c r="G3" s="1">
        <f>_xlfn.XLOOKUP(Sales_All[[#This Row],[Product]], Product_List!A:A, Product_List!D:D)</f>
        <v>323</v>
      </c>
      <c r="H3" s="7">
        <f>_xlfn.XLOOKUP(Sales_All[[#This Row],[Product]], Product_List!A:A, Product_List!E:E)</f>
        <v>0.1</v>
      </c>
      <c r="I3" s="4">
        <v>3</v>
      </c>
      <c r="J3" s="4">
        <v>378</v>
      </c>
      <c r="K3" s="3">
        <f>EOMONTH(Sales_All[[#This Row],[Date]],0)</f>
        <v>45716</v>
      </c>
      <c r="L3" s="1">
        <f>_xlfn.XLOOKUP(Sales_All[[#This Row],[Month]], Finance_Data!A:A, Finance_Data!B:B)</f>
        <v>43320</v>
      </c>
      <c r="M3" s="1">
        <f>_xlfn.XLOOKUP(Sales_All[[#This Row],[Month]], Finance_Data!A:A, Finance_Data!C:C, 0)</f>
        <v>70533</v>
      </c>
      <c r="N3" s="1">
        <f>(Sales_All[[#This Row],[Quantity]]*Sales_All[[#This Row],[UnitPrice]]) - (Sales_All[[#This Row],[Quantity]]*Sales_All[[#This Row],[UnitCost]])  - Sales_All[[#This Row],[Overheads]] -Sales_All[[#This Row],[Salaries]]</f>
        <v>-113688</v>
      </c>
      <c r="O3">
        <f>_xlfn.XLOOKUP(Sales_All[[#This Row],[OrderID]], Operations_Data!A:A, Operations_Data!B:B)</f>
        <v>2</v>
      </c>
      <c r="P3">
        <f>_xlfn.XLOOKUP(Sales_All[[#This Row],[OrderID]], Operations_Data!A:A, Operations_Data!C:C)</f>
        <v>0.03</v>
      </c>
      <c r="Q3" s="1">
        <f>Sales_All[[#This Row],[Quantity]]*Sales_All[[#This Row],[UnitPrice]]</f>
        <v>1134</v>
      </c>
      <c r="R3" s="1">
        <f>Sales_All[[#This Row],[Revenue]]*(1-Sales_All[[#This Row],[Discount]])</f>
        <v>1020.6</v>
      </c>
      <c r="S3" s="1">
        <f>Sales_All[[#This Row],[Revenue]] -(Sales_All[[#This Row],[Quantity]]*Sales_All[[#This Row],[UnitCost]])-Sales_All[[#This Row],[Overheads]]</f>
        <v>-43155</v>
      </c>
      <c r="T3" s="1" t="str" cm="1">
        <f t="array" ref="T3">_xlfn.IFS(Sales_All[[#This Row],[Revenue]]&gt;50000,"VIP",Sales_All[[#This Row],[Revenue]]&gt;=20000,"Regular",Sales_All[[#This Row],[Revenue]]&lt;20000,"Low Value")</f>
        <v>Low Value</v>
      </c>
      <c r="U3" s="1" t="str">
        <f>INDEX(Product_List!B:B, MATCH(Sales_All[[#This Row],[Product]], Product_List!A:A, 0))</f>
        <v>Accessories</v>
      </c>
      <c r="V3" s="1" t="str" cm="1">
        <f t="array" ref="V3">_xlfn.TEXTJOIN(", ", TRUE,IF(Sales_All[CustomerID] = Sales_All[[#This Row],[CustomerID]], Sales_All[Product], ""))</f>
        <v>Headphones, Printer, Laptop</v>
      </c>
    </row>
    <row r="4" spans="1:22" x14ac:dyDescent="0.3">
      <c r="A4" s="1" t="s">
        <v>12</v>
      </c>
      <c r="B4" s="3">
        <v>45736.268287037034</v>
      </c>
      <c r="C4" s="5" t="s">
        <v>13</v>
      </c>
      <c r="D4">
        <v>1005</v>
      </c>
      <c r="E4" s="5" t="s">
        <v>14</v>
      </c>
      <c r="F4" s="1" t="str">
        <f>_xlfn.XLOOKUP(Sales_All[[#This Row],[Product]], Product_List!A:A, Product_List!B:B,)</f>
        <v>Electronics</v>
      </c>
      <c r="G4" s="1">
        <f>_xlfn.XLOOKUP(Sales_All[[#This Row],[Product]], Product_List!A:A, Product_List!D:D)</f>
        <v>463</v>
      </c>
      <c r="H4" s="7">
        <f>_xlfn.XLOOKUP(Sales_All[[#This Row],[Product]], Product_List!A:A, Product_List!E:E)</f>
        <v>0.23</v>
      </c>
      <c r="I4" s="4">
        <v>1</v>
      </c>
      <c r="J4" s="4">
        <v>585</v>
      </c>
      <c r="K4" s="3">
        <f>EOMONTH(Sales_All[[#This Row],[Date]],0)</f>
        <v>45747</v>
      </c>
      <c r="L4" s="1">
        <f>_xlfn.XLOOKUP(Sales_All[[#This Row],[Month]], Finance_Data!A:A, Finance_Data!B:B)</f>
        <v>34147</v>
      </c>
      <c r="M4" s="1">
        <f>_xlfn.XLOOKUP(Sales_All[[#This Row],[Month]], Finance_Data!A:A, Finance_Data!C:C, 0)</f>
        <v>63890</v>
      </c>
      <c r="N4" s="1">
        <f>(Sales_All[[#This Row],[Quantity]]*Sales_All[[#This Row],[UnitPrice]]) - (Sales_All[[#This Row],[Quantity]]*Sales_All[[#This Row],[UnitCost]])  - Sales_All[[#This Row],[Overheads]] -Sales_All[[#This Row],[Salaries]]</f>
        <v>-97915</v>
      </c>
      <c r="O4">
        <f>_xlfn.XLOOKUP(Sales_All[[#This Row],[OrderID]], Operations_Data!A:A, Operations_Data!B:B)</f>
        <v>6</v>
      </c>
      <c r="P4">
        <f>_xlfn.XLOOKUP(Sales_All[[#This Row],[OrderID]], Operations_Data!A:A, Operations_Data!C:C)</f>
        <v>0.05</v>
      </c>
      <c r="Q4" s="1">
        <f>Sales_All[[#This Row],[Quantity]]*Sales_All[[#This Row],[UnitPrice]]</f>
        <v>585</v>
      </c>
      <c r="R4" s="1">
        <f>Sales_All[[#This Row],[Revenue]]*(1-Sales_All[[#This Row],[Discount]])</f>
        <v>450.45</v>
      </c>
      <c r="S4" s="1">
        <f>Sales_All[[#This Row],[Revenue]] -(Sales_All[[#This Row],[Quantity]]*Sales_All[[#This Row],[UnitCost]])-Sales_All[[#This Row],[Overheads]]</f>
        <v>-34025</v>
      </c>
      <c r="T4" s="1" t="str" cm="1">
        <f t="array" ref="T4">_xlfn.IFS(Sales_All[[#This Row],[Revenue]]&gt;50000,"VIP",Sales_All[[#This Row],[Revenue]]&gt;=20000,"Regular",Sales_All[[#This Row],[Revenue]]&lt;20000,"Low Value")</f>
        <v>Low Value</v>
      </c>
      <c r="U4" s="1" t="str">
        <f>INDEX(Product_List!B:B, MATCH(Sales_All[[#This Row],[Product]], Product_List!A:A, 0))</f>
        <v>Electronics</v>
      </c>
      <c r="V4" s="1" t="str" cm="1">
        <f t="array" ref="V4">_xlfn.TEXTJOIN(", ", TRUE,IF(Sales_All[CustomerID] = Sales_All[[#This Row],[CustomerID]], Sales_All[Product], ""))</f>
        <v>Monitor, Printer, Printer, Printer, Tablet</v>
      </c>
    </row>
    <row r="5" spans="1:22" x14ac:dyDescent="0.3">
      <c r="A5" s="1" t="s">
        <v>15</v>
      </c>
      <c r="B5" s="3">
        <v>45703.571203703701</v>
      </c>
      <c r="C5" s="5" t="s">
        <v>16</v>
      </c>
      <c r="D5">
        <v>1018</v>
      </c>
      <c r="E5" s="5" t="s">
        <v>17</v>
      </c>
      <c r="F5" s="1" t="str">
        <f>_xlfn.XLOOKUP(Sales_All[[#This Row],[Product]], Product_List!A:A, Product_List!B:B,)</f>
        <v>Electronics</v>
      </c>
      <c r="G5" s="1">
        <f>_xlfn.XLOOKUP(Sales_All[[#This Row],[Product]], Product_List!A:A, Product_List!D:D)</f>
        <v>97</v>
      </c>
      <c r="H5" s="7">
        <f>_xlfn.XLOOKUP(Sales_All[[#This Row],[Product]], Product_List!A:A, Product_List!E:E)</f>
        <v>0.08</v>
      </c>
      <c r="I5" s="4">
        <v>8</v>
      </c>
      <c r="J5" s="4">
        <v>726</v>
      </c>
      <c r="K5" s="3">
        <f>EOMONTH(Sales_All[[#This Row],[Date]],0)</f>
        <v>45716</v>
      </c>
      <c r="L5" s="1">
        <f>_xlfn.XLOOKUP(Sales_All[[#This Row],[Month]], Finance_Data!A:A, Finance_Data!B:B)</f>
        <v>43320</v>
      </c>
      <c r="M5" s="1">
        <f>_xlfn.XLOOKUP(Sales_All[[#This Row],[Month]], Finance_Data!A:A, Finance_Data!C:C, 0)</f>
        <v>70533</v>
      </c>
      <c r="N5" s="1">
        <f>(Sales_All[[#This Row],[Quantity]]*Sales_All[[#This Row],[UnitPrice]]) - (Sales_All[[#This Row],[Quantity]]*Sales_All[[#This Row],[UnitCost]])  - Sales_All[[#This Row],[Overheads]] -Sales_All[[#This Row],[Salaries]]</f>
        <v>-108821</v>
      </c>
      <c r="O5">
        <f>_xlfn.XLOOKUP(Sales_All[[#This Row],[OrderID]], Operations_Data!A:A, Operations_Data!B:B)</f>
        <v>4</v>
      </c>
      <c r="P5">
        <f>_xlfn.XLOOKUP(Sales_All[[#This Row],[OrderID]], Operations_Data!A:A, Operations_Data!C:C)</f>
        <v>7.0000000000000007E-2</v>
      </c>
      <c r="Q5" s="1">
        <f>Sales_All[[#This Row],[Quantity]]*Sales_All[[#This Row],[UnitPrice]]</f>
        <v>5808</v>
      </c>
      <c r="R5" s="1">
        <f>Sales_All[[#This Row],[Revenue]]*(1-Sales_All[[#This Row],[Discount]])</f>
        <v>5343.3600000000006</v>
      </c>
      <c r="S5" s="1">
        <f>Sales_All[[#This Row],[Revenue]] -(Sales_All[[#This Row],[Quantity]]*Sales_All[[#This Row],[UnitCost]])-Sales_All[[#This Row],[Overheads]]</f>
        <v>-38288</v>
      </c>
      <c r="T5" s="1" t="str" cm="1">
        <f t="array" ref="T5">_xlfn.IFS(Sales_All[[#This Row],[Revenue]]&gt;50000,"VIP",Sales_All[[#This Row],[Revenue]]&gt;=20000,"Regular",Sales_All[[#This Row],[Revenue]]&lt;20000,"Low Value")</f>
        <v>Low Value</v>
      </c>
      <c r="U5" s="1" t="str">
        <f>INDEX(Product_List!B:B, MATCH(Sales_All[[#This Row],[Product]], Product_List!A:A, 0))</f>
        <v>Electronics</v>
      </c>
      <c r="V5" s="1" t="str" cm="1">
        <f t="array" ref="V5">_xlfn.TEXTJOIN(", ", TRUE,IF(Sales_All[CustomerID] = Sales_All[[#This Row],[CustomerID]], Sales_All[Product], ""))</f>
        <v>Tablet, Smartphone, Headphones, Headphones, Monitor, Laptop</v>
      </c>
    </row>
    <row r="6" spans="1:22" x14ac:dyDescent="0.3">
      <c r="A6" s="1" t="s">
        <v>18</v>
      </c>
      <c r="B6" s="3">
        <v>45663.685914351852</v>
      </c>
      <c r="C6" s="5" t="s">
        <v>19</v>
      </c>
      <c r="D6">
        <v>1012</v>
      </c>
      <c r="E6" s="5" t="s">
        <v>20</v>
      </c>
      <c r="F6" s="1" t="str">
        <f>_xlfn.XLOOKUP(Sales_All[[#This Row],[Product]], Product_List!A:A, Product_List!B:B,)</f>
        <v>Electronics</v>
      </c>
      <c r="G6" s="1">
        <f>_xlfn.XLOOKUP(Sales_All[[#This Row],[Product]], Product_List!A:A, Product_List!D:D)</f>
        <v>469</v>
      </c>
      <c r="H6" s="7">
        <f>_xlfn.XLOOKUP(Sales_All[[#This Row],[Product]], Product_List!A:A, Product_List!E:E)</f>
        <v>0.22</v>
      </c>
      <c r="I6" s="4">
        <v>2</v>
      </c>
      <c r="J6" s="4">
        <v>709</v>
      </c>
      <c r="K6" s="3">
        <f>EOMONTH(Sales_All[[#This Row],[Date]],0)</f>
        <v>45688</v>
      </c>
      <c r="L6" s="1">
        <f>_xlfn.XLOOKUP(Sales_All[[#This Row],[Month]], Finance_Data!A:A, Finance_Data!B:B)</f>
        <v>25640</v>
      </c>
      <c r="M6" s="1">
        <f>_xlfn.XLOOKUP(Sales_All[[#This Row],[Month]], Finance_Data!A:A, Finance_Data!C:C, 0)</f>
        <v>60082</v>
      </c>
      <c r="N6" s="1">
        <f>(Sales_All[[#This Row],[Quantity]]*Sales_All[[#This Row],[UnitPrice]]) - (Sales_All[[#This Row],[Quantity]]*Sales_All[[#This Row],[UnitCost]])  - Sales_All[[#This Row],[Overheads]] -Sales_All[[#This Row],[Salaries]]</f>
        <v>-85242</v>
      </c>
      <c r="O6">
        <f>_xlfn.XLOOKUP(Sales_All[[#This Row],[OrderID]], Operations_Data!A:A, Operations_Data!B:B)</f>
        <v>5</v>
      </c>
      <c r="P6">
        <f>_xlfn.XLOOKUP(Sales_All[[#This Row],[OrderID]], Operations_Data!A:A, Operations_Data!C:C)</f>
        <v>0.03</v>
      </c>
      <c r="Q6" s="1">
        <f>Sales_All[[#This Row],[Quantity]]*Sales_All[[#This Row],[UnitPrice]]</f>
        <v>1418</v>
      </c>
      <c r="R6" s="1">
        <f>Sales_All[[#This Row],[Revenue]]*(1-Sales_All[[#This Row],[Discount]])</f>
        <v>1106.04</v>
      </c>
      <c r="S6" s="1">
        <f>Sales_All[[#This Row],[Revenue]] -(Sales_All[[#This Row],[Quantity]]*Sales_All[[#This Row],[UnitCost]])-Sales_All[[#This Row],[Overheads]]</f>
        <v>-25160</v>
      </c>
      <c r="T6" s="1" t="str" cm="1">
        <f t="array" ref="T6">_xlfn.IFS(Sales_All[[#This Row],[Revenue]]&gt;50000,"VIP",Sales_All[[#This Row],[Revenue]]&gt;=20000,"Regular",Sales_All[[#This Row],[Revenue]]&lt;20000,"Low Value")</f>
        <v>Low Value</v>
      </c>
      <c r="U6" s="1" t="str">
        <f>INDEX(Product_List!B:B, MATCH(Sales_All[[#This Row],[Product]], Product_List!A:A, 0))</f>
        <v>Electronics</v>
      </c>
      <c r="V6" s="1" t="str" cm="1">
        <f t="array" ref="V6">_xlfn.TEXTJOIN(", ", TRUE,IF(Sales_All[CustomerID] = Sales_All[[#This Row],[CustomerID]], Sales_All[Product], ""))</f>
        <v>Laptop, Headphones, Printer, Monitor</v>
      </c>
    </row>
    <row r="7" spans="1:22" x14ac:dyDescent="0.3">
      <c r="A7" s="1" t="s">
        <v>21</v>
      </c>
      <c r="B7" s="3">
        <v>45716.226770833331</v>
      </c>
      <c r="C7" s="5" t="s">
        <v>16</v>
      </c>
      <c r="D7">
        <v>1013</v>
      </c>
      <c r="E7" s="5" t="s">
        <v>20</v>
      </c>
      <c r="F7" s="1" t="str">
        <f>_xlfn.XLOOKUP(Sales_All[[#This Row],[Product]], Product_List!A:A, Product_List!B:B,)</f>
        <v>Electronics</v>
      </c>
      <c r="G7" s="1">
        <f>_xlfn.XLOOKUP(Sales_All[[#This Row],[Product]], Product_List!A:A, Product_List!D:D)</f>
        <v>469</v>
      </c>
      <c r="H7" s="7">
        <f>_xlfn.XLOOKUP(Sales_All[[#This Row],[Product]], Product_List!A:A, Product_List!E:E)</f>
        <v>0.22</v>
      </c>
      <c r="I7" s="4">
        <v>8</v>
      </c>
      <c r="J7" s="4">
        <v>1817</v>
      </c>
      <c r="K7" s="3">
        <f>EOMONTH(Sales_All[[#This Row],[Date]],0)</f>
        <v>45716</v>
      </c>
      <c r="L7" s="1">
        <f>_xlfn.XLOOKUP(Sales_All[[#This Row],[Month]], Finance_Data!A:A, Finance_Data!B:B)</f>
        <v>43320</v>
      </c>
      <c r="M7" s="1">
        <f>_xlfn.XLOOKUP(Sales_All[[#This Row],[Month]], Finance_Data!A:A, Finance_Data!C:C, 0)</f>
        <v>70533</v>
      </c>
      <c r="N7" s="1">
        <f>(Sales_All[[#This Row],[Quantity]]*Sales_All[[#This Row],[UnitPrice]]) - (Sales_All[[#This Row],[Quantity]]*Sales_All[[#This Row],[UnitCost]])  - Sales_All[[#This Row],[Overheads]] -Sales_All[[#This Row],[Salaries]]</f>
        <v>-103069</v>
      </c>
      <c r="O7">
        <f>_xlfn.XLOOKUP(Sales_All[[#This Row],[OrderID]], Operations_Data!A:A, Operations_Data!B:B)</f>
        <v>5</v>
      </c>
      <c r="P7">
        <f>_xlfn.XLOOKUP(Sales_All[[#This Row],[OrderID]], Operations_Data!A:A, Operations_Data!C:C)</f>
        <v>0.06</v>
      </c>
      <c r="Q7" s="1">
        <f>Sales_All[[#This Row],[Quantity]]*Sales_All[[#This Row],[UnitPrice]]</f>
        <v>14536</v>
      </c>
      <c r="R7" s="1">
        <f>Sales_All[[#This Row],[Revenue]]*(1-Sales_All[[#This Row],[Discount]])</f>
        <v>11338.08</v>
      </c>
      <c r="S7" s="1">
        <f>Sales_All[[#This Row],[Revenue]] -(Sales_All[[#This Row],[Quantity]]*Sales_All[[#This Row],[UnitCost]])-Sales_All[[#This Row],[Overheads]]</f>
        <v>-32536</v>
      </c>
      <c r="T7" s="1" t="str" cm="1">
        <f t="array" ref="T7">_xlfn.IFS(Sales_All[[#This Row],[Revenue]]&gt;50000,"VIP",Sales_All[[#This Row],[Revenue]]&gt;=20000,"Regular",Sales_All[[#This Row],[Revenue]]&lt;20000,"Low Value")</f>
        <v>Low Value</v>
      </c>
      <c r="U7" s="1" t="str">
        <f>INDEX(Product_List!B:B, MATCH(Sales_All[[#This Row],[Product]], Product_List!A:A, 0))</f>
        <v>Electronics</v>
      </c>
      <c r="V7" s="1" t="str" cm="1">
        <f t="array" ref="V7">_xlfn.TEXTJOIN(", ", TRUE,IF(Sales_All[CustomerID] = Sales_All[[#This Row],[CustomerID]], Sales_All[Product], ""))</f>
        <v>Laptop, Printer</v>
      </c>
    </row>
    <row r="8" spans="1:22" x14ac:dyDescent="0.3">
      <c r="A8" s="1" t="s">
        <v>22</v>
      </c>
      <c r="B8" s="3">
        <v>45735.116423611107</v>
      </c>
      <c r="C8" s="5" t="s">
        <v>8</v>
      </c>
      <c r="D8">
        <v>1017</v>
      </c>
      <c r="E8" s="5" t="s">
        <v>9</v>
      </c>
      <c r="F8" s="1" t="str">
        <f>_xlfn.XLOOKUP(Sales_All[[#This Row],[Product]], Product_List!A:A, Product_List!B:B,)</f>
        <v>Electronics</v>
      </c>
      <c r="G8" s="1">
        <f>_xlfn.XLOOKUP(Sales_All[[#This Row],[Product]], Product_List!A:A, Product_List!D:D)</f>
        <v>492</v>
      </c>
      <c r="H8" s="7">
        <f>_xlfn.XLOOKUP(Sales_All[[#This Row],[Product]], Product_List!A:A, Product_List!E:E)</f>
        <v>0.14000000000000001</v>
      </c>
      <c r="I8" s="4">
        <v>9</v>
      </c>
      <c r="J8" s="4">
        <v>1976</v>
      </c>
      <c r="K8" s="3">
        <f>EOMONTH(Sales_All[[#This Row],[Date]],0)</f>
        <v>45747</v>
      </c>
      <c r="L8" s="1">
        <f>_xlfn.XLOOKUP(Sales_All[[#This Row],[Month]], Finance_Data!A:A, Finance_Data!B:B)</f>
        <v>34147</v>
      </c>
      <c r="M8" s="1">
        <f>_xlfn.XLOOKUP(Sales_All[[#This Row],[Month]], Finance_Data!A:A, Finance_Data!C:C, 0)</f>
        <v>63890</v>
      </c>
      <c r="N8" s="1">
        <f>(Sales_All[[#This Row],[Quantity]]*Sales_All[[#This Row],[UnitPrice]]) - (Sales_All[[#This Row],[Quantity]]*Sales_All[[#This Row],[UnitCost]])  - Sales_All[[#This Row],[Overheads]] -Sales_All[[#This Row],[Salaries]]</f>
        <v>-84681</v>
      </c>
      <c r="O8">
        <f>_xlfn.XLOOKUP(Sales_All[[#This Row],[OrderID]], Operations_Data!A:A, Operations_Data!B:B)</f>
        <v>4</v>
      </c>
      <c r="P8">
        <f>_xlfn.XLOOKUP(Sales_All[[#This Row],[OrderID]], Operations_Data!A:A, Operations_Data!C:C)</f>
        <v>0.02</v>
      </c>
      <c r="Q8" s="1">
        <f>Sales_All[[#This Row],[Quantity]]*Sales_All[[#This Row],[UnitPrice]]</f>
        <v>17784</v>
      </c>
      <c r="R8" s="1">
        <f>Sales_All[[#This Row],[Revenue]]*(1-Sales_All[[#This Row],[Discount]])</f>
        <v>15294.24</v>
      </c>
      <c r="S8" s="1">
        <f>Sales_All[[#This Row],[Revenue]] -(Sales_All[[#This Row],[Quantity]]*Sales_All[[#This Row],[UnitCost]])-Sales_All[[#This Row],[Overheads]]</f>
        <v>-20791</v>
      </c>
      <c r="T8" s="1" t="str" cm="1">
        <f t="array" ref="T8">_xlfn.IFS(Sales_All[[#This Row],[Revenue]]&gt;50000,"VIP",Sales_All[[#This Row],[Revenue]]&gt;=20000,"Regular",Sales_All[[#This Row],[Revenue]]&lt;20000,"Low Value")</f>
        <v>Low Value</v>
      </c>
      <c r="U8" s="1" t="str">
        <f>INDEX(Product_List!B:B, MATCH(Sales_All[[#This Row],[Product]], Product_List!A:A, 0))</f>
        <v>Electronics</v>
      </c>
      <c r="V8" s="1" t="str" cm="1">
        <f t="array" ref="V8">_xlfn.TEXTJOIN(", ", TRUE,IF(Sales_All[CustomerID] = Sales_All[[#This Row],[CustomerID]], Sales_All[Product], ""))</f>
        <v>Tablet, Laptop, Printer, Laptop, Smartphone</v>
      </c>
    </row>
    <row r="9" spans="1:22" x14ac:dyDescent="0.3">
      <c r="A9" s="1" t="s">
        <v>23</v>
      </c>
      <c r="B9" s="3">
        <v>45707.394131944442</v>
      </c>
      <c r="C9" s="5" t="s">
        <v>8</v>
      </c>
      <c r="D9">
        <v>1014</v>
      </c>
      <c r="E9" s="5" t="s">
        <v>9</v>
      </c>
      <c r="F9" s="1" t="str">
        <f>_xlfn.XLOOKUP(Sales_All[[#This Row],[Product]], Product_List!A:A, Product_List!B:B,)</f>
        <v>Electronics</v>
      </c>
      <c r="G9" s="1">
        <f>_xlfn.XLOOKUP(Sales_All[[#This Row],[Product]], Product_List!A:A, Product_List!D:D)</f>
        <v>492</v>
      </c>
      <c r="H9" s="7">
        <f>_xlfn.XLOOKUP(Sales_All[[#This Row],[Product]], Product_List!A:A, Product_List!E:E)</f>
        <v>0.14000000000000001</v>
      </c>
      <c r="I9" s="4">
        <v>5</v>
      </c>
      <c r="J9" s="4">
        <v>1134</v>
      </c>
      <c r="K9" s="3">
        <f>EOMONTH(Sales_All[[#This Row],[Date]],0)</f>
        <v>45716</v>
      </c>
      <c r="L9" s="1">
        <f>_xlfn.XLOOKUP(Sales_All[[#This Row],[Month]], Finance_Data!A:A, Finance_Data!B:B)</f>
        <v>43320</v>
      </c>
      <c r="M9" s="1">
        <f>_xlfn.XLOOKUP(Sales_All[[#This Row],[Month]], Finance_Data!A:A, Finance_Data!C:C, 0)</f>
        <v>70533</v>
      </c>
      <c r="N9" s="1">
        <f>(Sales_All[[#This Row],[Quantity]]*Sales_All[[#This Row],[UnitPrice]]) - (Sales_All[[#This Row],[Quantity]]*Sales_All[[#This Row],[UnitCost]])  - Sales_All[[#This Row],[Overheads]] -Sales_All[[#This Row],[Salaries]]</f>
        <v>-110643</v>
      </c>
      <c r="O9">
        <f>_xlfn.XLOOKUP(Sales_All[[#This Row],[OrderID]], Operations_Data!A:A, Operations_Data!B:B)</f>
        <v>8</v>
      </c>
      <c r="P9">
        <f>_xlfn.XLOOKUP(Sales_All[[#This Row],[OrderID]], Operations_Data!A:A, Operations_Data!C:C)</f>
        <v>7.0000000000000007E-2</v>
      </c>
      <c r="Q9" s="1">
        <f>Sales_All[[#This Row],[Quantity]]*Sales_All[[#This Row],[UnitPrice]]</f>
        <v>5670</v>
      </c>
      <c r="R9" s="1">
        <f>Sales_All[[#This Row],[Revenue]]*(1-Sales_All[[#This Row],[Discount]])</f>
        <v>4876.2</v>
      </c>
      <c r="S9" s="1">
        <f>Sales_All[[#This Row],[Revenue]] -(Sales_All[[#This Row],[Quantity]]*Sales_All[[#This Row],[UnitCost]])-Sales_All[[#This Row],[Overheads]]</f>
        <v>-40110</v>
      </c>
      <c r="T9" s="1" t="str" cm="1">
        <f t="array" ref="T9">_xlfn.IFS(Sales_All[[#This Row],[Revenue]]&gt;50000,"VIP",Sales_All[[#This Row],[Revenue]]&gt;=20000,"Regular",Sales_All[[#This Row],[Revenue]]&lt;20000,"Low Value")</f>
        <v>Low Value</v>
      </c>
      <c r="U9" s="1" t="str">
        <f>INDEX(Product_List!B:B, MATCH(Sales_All[[#This Row],[Product]], Product_List!A:A, 0))</f>
        <v>Electronics</v>
      </c>
      <c r="V9" s="1" t="str" cm="1">
        <f t="array" ref="V9">_xlfn.TEXTJOIN(", ", TRUE,IF(Sales_All[CustomerID] = Sales_All[[#This Row],[CustomerID]], Sales_All[Product], ""))</f>
        <v>Tablet, Monitor, Headphones</v>
      </c>
    </row>
    <row r="10" spans="1:22" x14ac:dyDescent="0.3">
      <c r="A10" s="1" t="s">
        <v>24</v>
      </c>
      <c r="B10" s="3">
        <v>45671.497210648151</v>
      </c>
      <c r="C10" s="5" t="s">
        <v>8</v>
      </c>
      <c r="D10">
        <v>1020</v>
      </c>
      <c r="E10" s="5" t="s">
        <v>25</v>
      </c>
      <c r="F10" s="1" t="str">
        <f>_xlfn.XLOOKUP(Sales_All[[#This Row],[Product]], Product_List!A:A, Product_List!B:B,)</f>
        <v>Office</v>
      </c>
      <c r="G10" s="1">
        <f>_xlfn.XLOOKUP(Sales_All[[#This Row],[Product]], Product_List!A:A, Product_List!D:D)</f>
        <v>136</v>
      </c>
      <c r="H10" s="7">
        <f>_xlfn.XLOOKUP(Sales_All[[#This Row],[Product]], Product_List!A:A, Product_List!E:E)</f>
        <v>0.1</v>
      </c>
      <c r="I10" s="4">
        <v>1</v>
      </c>
      <c r="J10" s="4">
        <v>1220</v>
      </c>
      <c r="K10" s="3">
        <f>EOMONTH(Sales_All[[#This Row],[Date]],0)</f>
        <v>45688</v>
      </c>
      <c r="L10" s="1">
        <f>_xlfn.XLOOKUP(Sales_All[[#This Row],[Month]], Finance_Data!A:A, Finance_Data!B:B)</f>
        <v>25640</v>
      </c>
      <c r="M10" s="1">
        <f>_xlfn.XLOOKUP(Sales_All[[#This Row],[Month]], Finance_Data!A:A, Finance_Data!C:C, 0)</f>
        <v>60082</v>
      </c>
      <c r="N10" s="1">
        <f>(Sales_All[[#This Row],[Quantity]]*Sales_All[[#This Row],[UnitPrice]]) - (Sales_All[[#This Row],[Quantity]]*Sales_All[[#This Row],[UnitCost]])  - Sales_All[[#This Row],[Overheads]] -Sales_All[[#This Row],[Salaries]]</f>
        <v>-84638</v>
      </c>
      <c r="O10">
        <f>_xlfn.XLOOKUP(Sales_All[[#This Row],[OrderID]], Operations_Data!A:A, Operations_Data!B:B)</f>
        <v>2</v>
      </c>
      <c r="P10">
        <f>_xlfn.XLOOKUP(Sales_All[[#This Row],[OrderID]], Operations_Data!A:A, Operations_Data!C:C)</f>
        <v>0.08</v>
      </c>
      <c r="Q10" s="1">
        <f>Sales_All[[#This Row],[Quantity]]*Sales_All[[#This Row],[UnitPrice]]</f>
        <v>1220</v>
      </c>
      <c r="R10" s="1">
        <f>Sales_All[[#This Row],[Revenue]]*(1-Sales_All[[#This Row],[Discount]])</f>
        <v>1098</v>
      </c>
      <c r="S10" s="1">
        <f>Sales_All[[#This Row],[Revenue]] -(Sales_All[[#This Row],[Quantity]]*Sales_All[[#This Row],[UnitCost]])-Sales_All[[#This Row],[Overheads]]</f>
        <v>-24556</v>
      </c>
      <c r="T10" s="1" t="str" cm="1">
        <f t="array" ref="T10">_xlfn.IFS(Sales_All[[#This Row],[Revenue]]&gt;50000,"VIP",Sales_All[[#This Row],[Revenue]]&gt;=20000,"Regular",Sales_All[[#This Row],[Revenue]]&lt;20000,"Low Value")</f>
        <v>Low Value</v>
      </c>
      <c r="U10" s="1" t="str">
        <f>INDEX(Product_List!B:B, MATCH(Sales_All[[#This Row],[Product]], Product_List!A:A, 0))</f>
        <v>Office</v>
      </c>
      <c r="V10" s="1" t="str" cm="1">
        <f t="array" ref="V10">_xlfn.TEXTJOIN(", ", TRUE,IF(Sales_All[CustomerID] = Sales_All[[#This Row],[CustomerID]], Sales_All[Product], ""))</f>
        <v>Printer, Headphones, Laptop, Printer</v>
      </c>
    </row>
    <row r="11" spans="1:22" x14ac:dyDescent="0.3">
      <c r="A11" s="1" t="s">
        <v>26</v>
      </c>
      <c r="B11" s="3">
        <v>45743.202222222222</v>
      </c>
      <c r="C11" s="5" t="s">
        <v>13</v>
      </c>
      <c r="D11">
        <v>1010</v>
      </c>
      <c r="E11" s="5" t="s">
        <v>11</v>
      </c>
      <c r="F11" s="1" t="str">
        <f>_xlfn.XLOOKUP(Sales_All[[#This Row],[Product]], Product_List!A:A, Product_List!B:B,)</f>
        <v>Accessories</v>
      </c>
      <c r="G11" s="1">
        <f>_xlfn.XLOOKUP(Sales_All[[#This Row],[Product]], Product_List!A:A, Product_List!D:D)</f>
        <v>323</v>
      </c>
      <c r="H11" s="7">
        <f>_xlfn.XLOOKUP(Sales_All[[#This Row],[Product]], Product_List!A:A, Product_List!E:E)</f>
        <v>0.1</v>
      </c>
      <c r="I11" s="4">
        <v>2</v>
      </c>
      <c r="J11" s="4">
        <v>283</v>
      </c>
      <c r="K11" s="3">
        <f>EOMONTH(Sales_All[[#This Row],[Date]],0)</f>
        <v>45747</v>
      </c>
      <c r="L11" s="1">
        <f>_xlfn.XLOOKUP(Sales_All[[#This Row],[Month]], Finance_Data!A:A, Finance_Data!B:B)</f>
        <v>34147</v>
      </c>
      <c r="M11" s="1">
        <f>_xlfn.XLOOKUP(Sales_All[[#This Row],[Month]], Finance_Data!A:A, Finance_Data!C:C, 0)</f>
        <v>63890</v>
      </c>
      <c r="N11" s="1">
        <f>(Sales_All[[#This Row],[Quantity]]*Sales_All[[#This Row],[UnitPrice]]) - (Sales_All[[#This Row],[Quantity]]*Sales_All[[#This Row],[UnitCost]])  - Sales_All[[#This Row],[Overheads]] -Sales_All[[#This Row],[Salaries]]</f>
        <v>-98117</v>
      </c>
      <c r="O11">
        <f>_xlfn.XLOOKUP(Sales_All[[#This Row],[OrderID]], Operations_Data!A:A, Operations_Data!B:B)</f>
        <v>2</v>
      </c>
      <c r="P11">
        <f>_xlfn.XLOOKUP(Sales_All[[#This Row],[OrderID]], Operations_Data!A:A, Operations_Data!C:C)</f>
        <v>0.08</v>
      </c>
      <c r="Q11" s="1">
        <f>Sales_All[[#This Row],[Quantity]]*Sales_All[[#This Row],[UnitPrice]]</f>
        <v>566</v>
      </c>
      <c r="R11" s="1">
        <f>Sales_All[[#This Row],[Revenue]]*(1-Sales_All[[#This Row],[Discount]])</f>
        <v>509.40000000000003</v>
      </c>
      <c r="S11" s="1">
        <f>Sales_All[[#This Row],[Revenue]] -(Sales_All[[#This Row],[Quantity]]*Sales_All[[#This Row],[UnitCost]])-Sales_All[[#This Row],[Overheads]]</f>
        <v>-34227</v>
      </c>
      <c r="T11" s="1" t="str" cm="1">
        <f t="array" ref="T11">_xlfn.IFS(Sales_All[[#This Row],[Revenue]]&gt;50000,"VIP",Sales_All[[#This Row],[Revenue]]&gt;=20000,"Regular",Sales_All[[#This Row],[Revenue]]&lt;20000,"Low Value")</f>
        <v>Low Value</v>
      </c>
      <c r="U11" s="1" t="str">
        <f>INDEX(Product_List!B:B, MATCH(Sales_All[[#This Row],[Product]], Product_List!A:A, 0))</f>
        <v>Accessories</v>
      </c>
      <c r="V11" s="1" t="str" cm="1">
        <f t="array" ref="V11">_xlfn.TEXTJOIN(", ", TRUE,IF(Sales_All[CustomerID] = Sales_All[[#This Row],[CustomerID]], Sales_All[Product], ""))</f>
        <v>Headphones, Headphones, Smartphone, Monitor, Printer, Printer, Smartphone</v>
      </c>
    </row>
    <row r="12" spans="1:22" x14ac:dyDescent="0.3">
      <c r="A12" s="1" t="s">
        <v>27</v>
      </c>
      <c r="B12" s="3">
        <v>45684.929074074083</v>
      </c>
      <c r="C12" s="5" t="s">
        <v>13</v>
      </c>
      <c r="D12">
        <v>1019</v>
      </c>
      <c r="E12" s="5" t="s">
        <v>20</v>
      </c>
      <c r="F12" s="1" t="str">
        <f>_xlfn.XLOOKUP(Sales_All[[#This Row],[Product]], Product_List!A:A, Product_List!B:B,)</f>
        <v>Electronics</v>
      </c>
      <c r="G12" s="1">
        <f>_xlfn.XLOOKUP(Sales_All[[#This Row],[Product]], Product_List!A:A, Product_List!D:D)</f>
        <v>469</v>
      </c>
      <c r="H12" s="7">
        <f>_xlfn.XLOOKUP(Sales_All[[#This Row],[Product]], Product_List!A:A, Product_List!E:E)</f>
        <v>0.22</v>
      </c>
      <c r="I12" s="4">
        <v>9</v>
      </c>
      <c r="J12" s="4">
        <v>417</v>
      </c>
      <c r="K12" s="3">
        <f>EOMONTH(Sales_All[[#This Row],[Date]],0)</f>
        <v>45688</v>
      </c>
      <c r="L12" s="1">
        <f>_xlfn.XLOOKUP(Sales_All[[#This Row],[Month]], Finance_Data!A:A, Finance_Data!B:B)</f>
        <v>25640</v>
      </c>
      <c r="M12" s="1">
        <f>_xlfn.XLOOKUP(Sales_All[[#This Row],[Month]], Finance_Data!A:A, Finance_Data!C:C, 0)</f>
        <v>60082</v>
      </c>
      <c r="N12" s="1">
        <f>(Sales_All[[#This Row],[Quantity]]*Sales_All[[#This Row],[UnitPrice]]) - (Sales_All[[#This Row],[Quantity]]*Sales_All[[#This Row],[UnitCost]])  - Sales_All[[#This Row],[Overheads]] -Sales_All[[#This Row],[Salaries]]</f>
        <v>-86190</v>
      </c>
      <c r="O12">
        <f>_xlfn.XLOOKUP(Sales_All[[#This Row],[OrderID]], Operations_Data!A:A, Operations_Data!B:B)</f>
        <v>8</v>
      </c>
      <c r="P12">
        <f>_xlfn.XLOOKUP(Sales_All[[#This Row],[OrderID]], Operations_Data!A:A, Operations_Data!C:C)</f>
        <v>0.06</v>
      </c>
      <c r="Q12" s="1">
        <f>Sales_All[[#This Row],[Quantity]]*Sales_All[[#This Row],[UnitPrice]]</f>
        <v>3753</v>
      </c>
      <c r="R12" s="1">
        <f>Sales_All[[#This Row],[Revenue]]*(1-Sales_All[[#This Row],[Discount]])</f>
        <v>2927.34</v>
      </c>
      <c r="S12" s="1">
        <f>Sales_All[[#This Row],[Revenue]] -(Sales_All[[#This Row],[Quantity]]*Sales_All[[#This Row],[UnitCost]])-Sales_All[[#This Row],[Overheads]]</f>
        <v>-26108</v>
      </c>
      <c r="T12" s="1" t="str" cm="1">
        <f t="array" ref="T12">_xlfn.IFS(Sales_All[[#This Row],[Revenue]]&gt;50000,"VIP",Sales_All[[#This Row],[Revenue]]&gt;=20000,"Regular",Sales_All[[#This Row],[Revenue]]&lt;20000,"Low Value")</f>
        <v>Low Value</v>
      </c>
      <c r="U12" s="1" t="str">
        <f>INDEX(Product_List!B:B, MATCH(Sales_All[[#This Row],[Product]], Product_List!A:A, 0))</f>
        <v>Electronics</v>
      </c>
      <c r="V12" s="1" t="str" cm="1">
        <f t="array" ref="V12">_xlfn.TEXTJOIN(", ", TRUE,IF(Sales_All[CustomerID] = Sales_All[[#This Row],[CustomerID]], Sales_All[Product], ""))</f>
        <v>Laptop, Laptop, Headphones, Laptop, Tablet, Tablet, Monitor</v>
      </c>
    </row>
    <row r="13" spans="1:22" x14ac:dyDescent="0.3">
      <c r="A13" s="1" t="s">
        <v>28</v>
      </c>
      <c r="B13" s="3">
        <v>45662.789641203701</v>
      </c>
      <c r="C13" s="5" t="s">
        <v>8</v>
      </c>
      <c r="D13">
        <v>1016</v>
      </c>
      <c r="E13" s="5" t="s">
        <v>20</v>
      </c>
      <c r="F13" s="1" t="str">
        <f>_xlfn.XLOOKUP(Sales_All[[#This Row],[Product]], Product_List!A:A, Product_List!B:B,)</f>
        <v>Electronics</v>
      </c>
      <c r="G13" s="1">
        <f>_xlfn.XLOOKUP(Sales_All[[#This Row],[Product]], Product_List!A:A, Product_List!D:D)</f>
        <v>469</v>
      </c>
      <c r="H13" s="7">
        <f>_xlfn.XLOOKUP(Sales_All[[#This Row],[Product]], Product_List!A:A, Product_List!E:E)</f>
        <v>0.22</v>
      </c>
      <c r="I13" s="4">
        <v>3</v>
      </c>
      <c r="J13" s="4">
        <v>1692</v>
      </c>
      <c r="K13" s="3">
        <f>EOMONTH(Sales_All[[#This Row],[Date]],0)</f>
        <v>45688</v>
      </c>
      <c r="L13" s="1">
        <f>_xlfn.XLOOKUP(Sales_All[[#This Row],[Month]], Finance_Data!A:A, Finance_Data!B:B)</f>
        <v>25640</v>
      </c>
      <c r="M13" s="1">
        <f>_xlfn.XLOOKUP(Sales_All[[#This Row],[Month]], Finance_Data!A:A, Finance_Data!C:C, 0)</f>
        <v>60082</v>
      </c>
      <c r="N13" s="1">
        <f>(Sales_All[[#This Row],[Quantity]]*Sales_All[[#This Row],[UnitPrice]]) - (Sales_All[[#This Row],[Quantity]]*Sales_All[[#This Row],[UnitCost]])  - Sales_All[[#This Row],[Overheads]] -Sales_All[[#This Row],[Salaries]]</f>
        <v>-82053</v>
      </c>
      <c r="O13">
        <f>_xlfn.XLOOKUP(Sales_All[[#This Row],[OrderID]], Operations_Data!A:A, Operations_Data!B:B)</f>
        <v>8</v>
      </c>
      <c r="P13">
        <f>_xlfn.XLOOKUP(Sales_All[[#This Row],[OrderID]], Operations_Data!A:A, Operations_Data!C:C)</f>
        <v>0.03</v>
      </c>
      <c r="Q13" s="1">
        <f>Sales_All[[#This Row],[Quantity]]*Sales_All[[#This Row],[UnitPrice]]</f>
        <v>5076</v>
      </c>
      <c r="R13" s="1">
        <f>Sales_All[[#This Row],[Revenue]]*(1-Sales_All[[#This Row],[Discount]])</f>
        <v>3959.28</v>
      </c>
      <c r="S13" s="1">
        <f>Sales_All[[#This Row],[Revenue]] -(Sales_All[[#This Row],[Quantity]]*Sales_All[[#This Row],[UnitCost]])-Sales_All[[#This Row],[Overheads]]</f>
        <v>-21971</v>
      </c>
      <c r="T13" s="1" t="str" cm="1">
        <f t="array" ref="T13">_xlfn.IFS(Sales_All[[#This Row],[Revenue]]&gt;50000,"VIP",Sales_All[[#This Row],[Revenue]]&gt;=20000,"Regular",Sales_All[[#This Row],[Revenue]]&lt;20000,"Low Value")</f>
        <v>Low Value</v>
      </c>
      <c r="U13" s="1" t="str">
        <f>INDEX(Product_List!B:B, MATCH(Sales_All[[#This Row],[Product]], Product_List!A:A, 0))</f>
        <v>Electronics</v>
      </c>
      <c r="V13" s="1" t="str" cm="1">
        <f t="array" ref="V13">_xlfn.TEXTJOIN(", ", TRUE,IF(Sales_All[CustomerID] = Sales_All[[#This Row],[CustomerID]], Sales_All[Product], ""))</f>
        <v>Laptop, Monitor, Monitor, Tablet</v>
      </c>
    </row>
    <row r="14" spans="1:22" x14ac:dyDescent="0.3">
      <c r="A14" s="1" t="s">
        <v>29</v>
      </c>
      <c r="B14" s="3">
        <v>45693.460138888891</v>
      </c>
      <c r="C14" s="5" t="s">
        <v>16</v>
      </c>
      <c r="D14">
        <v>1001</v>
      </c>
      <c r="E14" s="5" t="s">
        <v>25</v>
      </c>
      <c r="F14" s="1" t="str">
        <f>_xlfn.XLOOKUP(Sales_All[[#This Row],[Product]], Product_List!A:A, Product_List!B:B,)</f>
        <v>Office</v>
      </c>
      <c r="G14" s="1">
        <f>_xlfn.XLOOKUP(Sales_All[[#This Row],[Product]], Product_List!A:A, Product_List!D:D)</f>
        <v>136</v>
      </c>
      <c r="H14" s="7">
        <f>_xlfn.XLOOKUP(Sales_All[[#This Row],[Product]], Product_List!A:A, Product_List!E:E)</f>
        <v>0.1</v>
      </c>
      <c r="I14" s="4">
        <v>4</v>
      </c>
      <c r="J14" s="4">
        <v>1853</v>
      </c>
      <c r="K14" s="3">
        <f>EOMONTH(Sales_All[[#This Row],[Date]],0)</f>
        <v>45716</v>
      </c>
      <c r="L14" s="1">
        <f>_xlfn.XLOOKUP(Sales_All[[#This Row],[Month]], Finance_Data!A:A, Finance_Data!B:B)</f>
        <v>43320</v>
      </c>
      <c r="M14" s="1">
        <f>_xlfn.XLOOKUP(Sales_All[[#This Row],[Month]], Finance_Data!A:A, Finance_Data!C:C, 0)</f>
        <v>70533</v>
      </c>
      <c r="N14" s="1">
        <f>(Sales_All[[#This Row],[Quantity]]*Sales_All[[#This Row],[UnitPrice]]) - (Sales_All[[#This Row],[Quantity]]*Sales_All[[#This Row],[UnitCost]])  - Sales_All[[#This Row],[Overheads]] -Sales_All[[#This Row],[Salaries]]</f>
        <v>-106985</v>
      </c>
      <c r="O14">
        <f>_xlfn.XLOOKUP(Sales_All[[#This Row],[OrderID]], Operations_Data!A:A, Operations_Data!B:B)</f>
        <v>1</v>
      </c>
      <c r="P14">
        <f>_xlfn.XLOOKUP(Sales_All[[#This Row],[OrderID]], Operations_Data!A:A, Operations_Data!C:C)</f>
        <v>7.0000000000000007E-2</v>
      </c>
      <c r="Q14" s="1">
        <f>Sales_All[[#This Row],[Quantity]]*Sales_All[[#This Row],[UnitPrice]]</f>
        <v>7412</v>
      </c>
      <c r="R14" s="1">
        <f>Sales_All[[#This Row],[Revenue]]*(1-Sales_All[[#This Row],[Discount]])</f>
        <v>6670.8</v>
      </c>
      <c r="S14" s="1">
        <f>Sales_All[[#This Row],[Revenue]] -(Sales_All[[#This Row],[Quantity]]*Sales_All[[#This Row],[UnitCost]])-Sales_All[[#This Row],[Overheads]]</f>
        <v>-36452</v>
      </c>
      <c r="T14" s="1" t="str" cm="1">
        <f t="array" ref="T14">_xlfn.IFS(Sales_All[[#This Row],[Revenue]]&gt;50000,"VIP",Sales_All[[#This Row],[Revenue]]&gt;=20000,"Regular",Sales_All[[#This Row],[Revenue]]&lt;20000,"Low Value")</f>
        <v>Low Value</v>
      </c>
      <c r="U14" s="1" t="str">
        <f>INDEX(Product_List!B:B, MATCH(Sales_All[[#This Row],[Product]], Product_List!A:A, 0))</f>
        <v>Office</v>
      </c>
      <c r="V14" s="1" t="str" cm="1">
        <f t="array" ref="V14">_xlfn.TEXTJOIN(", ", TRUE,IF(Sales_All[CustomerID] = Sales_All[[#This Row],[CustomerID]], Sales_All[Product], ""))</f>
        <v>Printer, Monitor, Smartphone, Headphones, Monitor, Monitor, Laptop, Laptop</v>
      </c>
    </row>
    <row r="15" spans="1:22" x14ac:dyDescent="0.3">
      <c r="A15" s="1" t="s">
        <v>30</v>
      </c>
      <c r="B15" s="3">
        <v>45717.254155092603</v>
      </c>
      <c r="C15" s="5" t="s">
        <v>8</v>
      </c>
      <c r="D15">
        <v>1005</v>
      </c>
      <c r="E15" s="5" t="s">
        <v>25</v>
      </c>
      <c r="F15" s="1" t="str">
        <f>_xlfn.XLOOKUP(Sales_All[[#This Row],[Product]], Product_List!A:A, Product_List!B:B,)</f>
        <v>Office</v>
      </c>
      <c r="G15" s="1">
        <f>_xlfn.XLOOKUP(Sales_All[[#This Row],[Product]], Product_List!A:A, Product_List!D:D)</f>
        <v>136</v>
      </c>
      <c r="H15" s="7">
        <f>_xlfn.XLOOKUP(Sales_All[[#This Row],[Product]], Product_List!A:A, Product_List!E:E)</f>
        <v>0.1</v>
      </c>
      <c r="I15" s="4">
        <v>2</v>
      </c>
      <c r="J15" s="4">
        <v>505</v>
      </c>
      <c r="K15" s="3">
        <f>EOMONTH(Sales_All[[#This Row],[Date]],0)</f>
        <v>45747</v>
      </c>
      <c r="L15" s="1">
        <f>_xlfn.XLOOKUP(Sales_All[[#This Row],[Month]], Finance_Data!A:A, Finance_Data!B:B)</f>
        <v>34147</v>
      </c>
      <c r="M15" s="1">
        <f>_xlfn.XLOOKUP(Sales_All[[#This Row],[Month]], Finance_Data!A:A, Finance_Data!C:C, 0)</f>
        <v>63890</v>
      </c>
      <c r="N15" s="1">
        <f>(Sales_All[[#This Row],[Quantity]]*Sales_All[[#This Row],[UnitPrice]]) - (Sales_All[[#This Row],[Quantity]]*Sales_All[[#This Row],[UnitCost]])  - Sales_All[[#This Row],[Overheads]] -Sales_All[[#This Row],[Salaries]]</f>
        <v>-97299</v>
      </c>
      <c r="O15">
        <f>_xlfn.XLOOKUP(Sales_All[[#This Row],[OrderID]], Operations_Data!A:A, Operations_Data!B:B)</f>
        <v>3</v>
      </c>
      <c r="P15">
        <f>_xlfn.XLOOKUP(Sales_All[[#This Row],[OrderID]], Operations_Data!A:A, Operations_Data!C:C)</f>
        <v>0.09</v>
      </c>
      <c r="Q15" s="1">
        <f>Sales_All[[#This Row],[Quantity]]*Sales_All[[#This Row],[UnitPrice]]</f>
        <v>1010</v>
      </c>
      <c r="R15" s="1">
        <f>Sales_All[[#This Row],[Revenue]]*(1-Sales_All[[#This Row],[Discount]])</f>
        <v>909</v>
      </c>
      <c r="S15" s="1">
        <f>Sales_All[[#This Row],[Revenue]] -(Sales_All[[#This Row],[Quantity]]*Sales_All[[#This Row],[UnitCost]])-Sales_All[[#This Row],[Overheads]]</f>
        <v>-33409</v>
      </c>
      <c r="T15" s="1" t="str" cm="1">
        <f t="array" ref="T15">_xlfn.IFS(Sales_All[[#This Row],[Revenue]]&gt;50000,"VIP",Sales_All[[#This Row],[Revenue]]&gt;=20000,"Regular",Sales_All[[#This Row],[Revenue]]&lt;20000,"Low Value")</f>
        <v>Low Value</v>
      </c>
      <c r="U15" s="1" t="str">
        <f>INDEX(Product_List!B:B, MATCH(Sales_All[[#This Row],[Product]], Product_List!A:A, 0))</f>
        <v>Office</v>
      </c>
      <c r="V15" s="1" t="str" cm="1">
        <f t="array" ref="V15">_xlfn.TEXTJOIN(", ", TRUE,IF(Sales_All[CustomerID] = Sales_All[[#This Row],[CustomerID]], Sales_All[Product], ""))</f>
        <v>Monitor, Printer, Printer, Printer, Tablet</v>
      </c>
    </row>
    <row r="16" spans="1:22" x14ac:dyDescent="0.3">
      <c r="A16" s="1" t="s">
        <v>31</v>
      </c>
      <c r="B16" s="3">
        <v>45672.072662037041</v>
      </c>
      <c r="C16" s="5" t="s">
        <v>8</v>
      </c>
      <c r="D16">
        <v>1016</v>
      </c>
      <c r="E16" s="5" t="s">
        <v>14</v>
      </c>
      <c r="F16" s="1" t="str">
        <f>_xlfn.XLOOKUP(Sales_All[[#This Row],[Product]], Product_List!A:A, Product_List!B:B,)</f>
        <v>Electronics</v>
      </c>
      <c r="G16" s="1">
        <f>_xlfn.XLOOKUP(Sales_All[[#This Row],[Product]], Product_List!A:A, Product_List!D:D)</f>
        <v>463</v>
      </c>
      <c r="H16" s="7">
        <f>_xlfn.XLOOKUP(Sales_All[[#This Row],[Product]], Product_List!A:A, Product_List!E:E)</f>
        <v>0.23</v>
      </c>
      <c r="I16" s="4">
        <v>3</v>
      </c>
      <c r="J16" s="4">
        <v>1355</v>
      </c>
      <c r="K16" s="3">
        <f>EOMONTH(Sales_All[[#This Row],[Date]],0)</f>
        <v>45688</v>
      </c>
      <c r="L16" s="1">
        <f>_xlfn.XLOOKUP(Sales_All[[#This Row],[Month]], Finance_Data!A:A, Finance_Data!B:B)</f>
        <v>25640</v>
      </c>
      <c r="M16" s="1">
        <f>_xlfn.XLOOKUP(Sales_All[[#This Row],[Month]], Finance_Data!A:A, Finance_Data!C:C, 0)</f>
        <v>60082</v>
      </c>
      <c r="N16" s="1">
        <f>(Sales_All[[#This Row],[Quantity]]*Sales_All[[#This Row],[UnitPrice]]) - (Sales_All[[#This Row],[Quantity]]*Sales_All[[#This Row],[UnitCost]])  - Sales_All[[#This Row],[Overheads]] -Sales_All[[#This Row],[Salaries]]</f>
        <v>-83046</v>
      </c>
      <c r="O16">
        <f>_xlfn.XLOOKUP(Sales_All[[#This Row],[OrderID]], Operations_Data!A:A, Operations_Data!B:B)</f>
        <v>4</v>
      </c>
      <c r="P16">
        <f>_xlfn.XLOOKUP(Sales_All[[#This Row],[OrderID]], Operations_Data!A:A, Operations_Data!C:C)</f>
        <v>0.06</v>
      </c>
      <c r="Q16" s="1">
        <f>Sales_All[[#This Row],[Quantity]]*Sales_All[[#This Row],[UnitPrice]]</f>
        <v>4065</v>
      </c>
      <c r="R16" s="1">
        <f>Sales_All[[#This Row],[Revenue]]*(1-Sales_All[[#This Row],[Discount]])</f>
        <v>3130.05</v>
      </c>
      <c r="S16" s="1">
        <f>Sales_All[[#This Row],[Revenue]] -(Sales_All[[#This Row],[Quantity]]*Sales_All[[#This Row],[UnitCost]])-Sales_All[[#This Row],[Overheads]]</f>
        <v>-22964</v>
      </c>
      <c r="T16" s="1" t="str" cm="1">
        <f t="array" ref="T16">_xlfn.IFS(Sales_All[[#This Row],[Revenue]]&gt;50000,"VIP",Sales_All[[#This Row],[Revenue]]&gt;=20000,"Regular",Sales_All[[#This Row],[Revenue]]&lt;20000,"Low Value")</f>
        <v>Low Value</v>
      </c>
      <c r="U16" s="1" t="str">
        <f>INDEX(Product_List!B:B, MATCH(Sales_All[[#This Row],[Product]], Product_List!A:A, 0))</f>
        <v>Electronics</v>
      </c>
      <c r="V16" s="1" t="str" cm="1">
        <f t="array" ref="V16">_xlfn.TEXTJOIN(", ", TRUE,IF(Sales_All[CustomerID] = Sales_All[[#This Row],[CustomerID]], Sales_All[Product], ""))</f>
        <v>Laptop, Monitor, Monitor, Tablet</v>
      </c>
    </row>
    <row r="17" spans="1:22" x14ac:dyDescent="0.3">
      <c r="A17" s="1" t="s">
        <v>32</v>
      </c>
      <c r="B17" s="3">
        <v>45742.873171296298</v>
      </c>
      <c r="C17" s="5" t="s">
        <v>19</v>
      </c>
      <c r="D17">
        <v>1003</v>
      </c>
      <c r="E17" s="5" t="s">
        <v>25</v>
      </c>
      <c r="F17" s="1" t="str">
        <f>_xlfn.XLOOKUP(Sales_All[[#This Row],[Product]], Product_List!A:A, Product_List!B:B,)</f>
        <v>Office</v>
      </c>
      <c r="G17" s="1">
        <f>_xlfn.XLOOKUP(Sales_All[[#This Row],[Product]], Product_List!A:A, Product_List!D:D)</f>
        <v>136</v>
      </c>
      <c r="H17" s="7">
        <f>_xlfn.XLOOKUP(Sales_All[[#This Row],[Product]], Product_List!A:A, Product_List!E:E)</f>
        <v>0.1</v>
      </c>
      <c r="I17" s="4">
        <v>8</v>
      </c>
      <c r="J17" s="4">
        <v>1220</v>
      </c>
      <c r="K17" s="3">
        <f>EOMONTH(Sales_All[[#This Row],[Date]],0)</f>
        <v>45747</v>
      </c>
      <c r="L17" s="1">
        <f>_xlfn.XLOOKUP(Sales_All[[#This Row],[Month]], Finance_Data!A:A, Finance_Data!B:B)</f>
        <v>34147</v>
      </c>
      <c r="M17" s="1">
        <f>_xlfn.XLOOKUP(Sales_All[[#This Row],[Month]], Finance_Data!A:A, Finance_Data!C:C, 0)</f>
        <v>63890</v>
      </c>
      <c r="N17" s="1">
        <f>(Sales_All[[#This Row],[Quantity]]*Sales_All[[#This Row],[UnitPrice]]) - (Sales_All[[#This Row],[Quantity]]*Sales_All[[#This Row],[UnitCost]])  - Sales_All[[#This Row],[Overheads]] -Sales_All[[#This Row],[Salaries]]</f>
        <v>-89365</v>
      </c>
      <c r="O17">
        <f>_xlfn.XLOOKUP(Sales_All[[#This Row],[OrderID]], Operations_Data!A:A, Operations_Data!B:B)</f>
        <v>3</v>
      </c>
      <c r="P17">
        <f>_xlfn.XLOOKUP(Sales_All[[#This Row],[OrderID]], Operations_Data!A:A, Operations_Data!C:C)</f>
        <v>0.1</v>
      </c>
      <c r="Q17" s="1">
        <f>Sales_All[[#This Row],[Quantity]]*Sales_All[[#This Row],[UnitPrice]]</f>
        <v>9760</v>
      </c>
      <c r="R17" s="1">
        <f>Sales_All[[#This Row],[Revenue]]*(1-Sales_All[[#This Row],[Discount]])</f>
        <v>8784</v>
      </c>
      <c r="S17" s="1">
        <f>Sales_All[[#This Row],[Revenue]] -(Sales_All[[#This Row],[Quantity]]*Sales_All[[#This Row],[UnitCost]])-Sales_All[[#This Row],[Overheads]]</f>
        <v>-25475</v>
      </c>
      <c r="T17" s="1" t="str" cm="1">
        <f t="array" ref="T17">_xlfn.IFS(Sales_All[[#This Row],[Revenue]]&gt;50000,"VIP",Sales_All[[#This Row],[Revenue]]&gt;=20000,"Regular",Sales_All[[#This Row],[Revenue]]&lt;20000,"Low Value")</f>
        <v>Low Value</v>
      </c>
      <c r="U17" s="1" t="str">
        <f>INDEX(Product_List!B:B, MATCH(Sales_All[[#This Row],[Product]], Product_List!A:A, 0))</f>
        <v>Office</v>
      </c>
      <c r="V17" s="1" t="str" cm="1">
        <f t="array" ref="V17">_xlfn.TEXTJOIN(", ", TRUE,IF(Sales_All[CustomerID] = Sales_All[[#This Row],[CustomerID]], Sales_All[Product], ""))</f>
        <v>Printer, Monitor, Headphones, Monitor</v>
      </c>
    </row>
    <row r="18" spans="1:22" x14ac:dyDescent="0.3">
      <c r="A18" s="1" t="s">
        <v>33</v>
      </c>
      <c r="B18" s="3">
        <v>45688.213564814818</v>
      </c>
      <c r="C18" s="5" t="s">
        <v>19</v>
      </c>
      <c r="D18">
        <v>1008</v>
      </c>
      <c r="E18" s="5" t="s">
        <v>17</v>
      </c>
      <c r="F18" s="1" t="str">
        <f>_xlfn.XLOOKUP(Sales_All[[#This Row],[Product]], Product_List!A:A, Product_List!B:B,)</f>
        <v>Electronics</v>
      </c>
      <c r="G18" s="1">
        <f>_xlfn.XLOOKUP(Sales_All[[#This Row],[Product]], Product_List!A:A, Product_List!D:D)</f>
        <v>97</v>
      </c>
      <c r="H18" s="7">
        <f>_xlfn.XLOOKUP(Sales_All[[#This Row],[Product]], Product_List!A:A, Product_List!E:E)</f>
        <v>0.08</v>
      </c>
      <c r="I18" s="4">
        <v>3</v>
      </c>
      <c r="J18" s="4">
        <v>605</v>
      </c>
      <c r="K18" s="3">
        <f>EOMONTH(Sales_All[[#This Row],[Date]],0)</f>
        <v>45688</v>
      </c>
      <c r="L18" s="1">
        <f>_xlfn.XLOOKUP(Sales_All[[#This Row],[Month]], Finance_Data!A:A, Finance_Data!B:B)</f>
        <v>25640</v>
      </c>
      <c r="M18" s="1">
        <f>_xlfn.XLOOKUP(Sales_All[[#This Row],[Month]], Finance_Data!A:A, Finance_Data!C:C, 0)</f>
        <v>60082</v>
      </c>
      <c r="N18" s="1">
        <f>(Sales_All[[#This Row],[Quantity]]*Sales_All[[#This Row],[UnitPrice]]) - (Sales_All[[#This Row],[Quantity]]*Sales_All[[#This Row],[UnitCost]])  - Sales_All[[#This Row],[Overheads]] -Sales_All[[#This Row],[Salaries]]</f>
        <v>-84198</v>
      </c>
      <c r="O18">
        <f>_xlfn.XLOOKUP(Sales_All[[#This Row],[OrderID]], Operations_Data!A:A, Operations_Data!B:B)</f>
        <v>6</v>
      </c>
      <c r="P18">
        <f>_xlfn.XLOOKUP(Sales_All[[#This Row],[OrderID]], Operations_Data!A:A, Operations_Data!C:C)</f>
        <v>0.1</v>
      </c>
      <c r="Q18" s="1">
        <f>Sales_All[[#This Row],[Quantity]]*Sales_All[[#This Row],[UnitPrice]]</f>
        <v>1815</v>
      </c>
      <c r="R18" s="1">
        <f>Sales_All[[#This Row],[Revenue]]*(1-Sales_All[[#This Row],[Discount]])</f>
        <v>1669.8000000000002</v>
      </c>
      <c r="S18" s="1">
        <f>Sales_All[[#This Row],[Revenue]] -(Sales_All[[#This Row],[Quantity]]*Sales_All[[#This Row],[UnitCost]])-Sales_All[[#This Row],[Overheads]]</f>
        <v>-24116</v>
      </c>
      <c r="T18" s="1" t="str" cm="1">
        <f t="array" ref="T18">_xlfn.IFS(Sales_All[[#This Row],[Revenue]]&gt;50000,"VIP",Sales_All[[#This Row],[Revenue]]&gt;=20000,"Regular",Sales_All[[#This Row],[Revenue]]&lt;20000,"Low Value")</f>
        <v>Low Value</v>
      </c>
      <c r="U18" s="1" t="str">
        <f>INDEX(Product_List!B:B, MATCH(Sales_All[[#This Row],[Product]], Product_List!A:A, 0))</f>
        <v>Electronics</v>
      </c>
      <c r="V18" s="1" t="str" cm="1">
        <f t="array" ref="V18">_xlfn.TEXTJOIN(", ", TRUE,IF(Sales_All[CustomerID] = Sales_All[[#This Row],[CustomerID]], Sales_All[Product], ""))</f>
        <v>Smartphone, Headphones, Laptop</v>
      </c>
    </row>
    <row r="19" spans="1:22" x14ac:dyDescent="0.3">
      <c r="A19" s="1" t="s">
        <v>34</v>
      </c>
      <c r="B19" s="3">
        <v>45718.933310185188</v>
      </c>
      <c r="C19" s="5" t="s">
        <v>8</v>
      </c>
      <c r="D19">
        <v>1009</v>
      </c>
      <c r="E19" s="5" t="s">
        <v>14</v>
      </c>
      <c r="F19" s="1" t="str">
        <f>_xlfn.XLOOKUP(Sales_All[[#This Row],[Product]], Product_List!A:A, Product_List!B:B,)</f>
        <v>Electronics</v>
      </c>
      <c r="G19" s="1">
        <f>_xlfn.XLOOKUP(Sales_All[[#This Row],[Product]], Product_List!A:A, Product_List!D:D)</f>
        <v>463</v>
      </c>
      <c r="H19" s="7">
        <f>_xlfn.XLOOKUP(Sales_All[[#This Row],[Product]], Product_List!A:A, Product_List!E:E)</f>
        <v>0.23</v>
      </c>
      <c r="I19" s="4">
        <v>7</v>
      </c>
      <c r="J19" s="4">
        <v>1149</v>
      </c>
      <c r="K19" s="3">
        <f>EOMONTH(Sales_All[[#This Row],[Date]],0)</f>
        <v>45747</v>
      </c>
      <c r="L19" s="1">
        <f>_xlfn.XLOOKUP(Sales_All[[#This Row],[Month]], Finance_Data!A:A, Finance_Data!B:B)</f>
        <v>34147</v>
      </c>
      <c r="M19" s="1">
        <f>_xlfn.XLOOKUP(Sales_All[[#This Row],[Month]], Finance_Data!A:A, Finance_Data!C:C, 0)</f>
        <v>63890</v>
      </c>
      <c r="N19" s="1">
        <f>(Sales_All[[#This Row],[Quantity]]*Sales_All[[#This Row],[UnitPrice]]) - (Sales_All[[#This Row],[Quantity]]*Sales_All[[#This Row],[UnitCost]])  - Sales_All[[#This Row],[Overheads]] -Sales_All[[#This Row],[Salaries]]</f>
        <v>-93235</v>
      </c>
      <c r="O19">
        <f>_xlfn.XLOOKUP(Sales_All[[#This Row],[OrderID]], Operations_Data!A:A, Operations_Data!B:B)</f>
        <v>9</v>
      </c>
      <c r="P19">
        <f>_xlfn.XLOOKUP(Sales_All[[#This Row],[OrderID]], Operations_Data!A:A, Operations_Data!C:C)</f>
        <v>0.02</v>
      </c>
      <c r="Q19" s="1">
        <f>Sales_All[[#This Row],[Quantity]]*Sales_All[[#This Row],[UnitPrice]]</f>
        <v>8043</v>
      </c>
      <c r="R19" s="1">
        <f>Sales_All[[#This Row],[Revenue]]*(1-Sales_All[[#This Row],[Discount]])</f>
        <v>6193.1100000000006</v>
      </c>
      <c r="S19" s="1">
        <f>Sales_All[[#This Row],[Revenue]] -(Sales_All[[#This Row],[Quantity]]*Sales_All[[#This Row],[UnitCost]])-Sales_All[[#This Row],[Overheads]]</f>
        <v>-29345</v>
      </c>
      <c r="T19" s="1" t="str" cm="1">
        <f t="array" ref="T19">_xlfn.IFS(Sales_All[[#This Row],[Revenue]]&gt;50000,"VIP",Sales_All[[#This Row],[Revenue]]&gt;=20000,"Regular",Sales_All[[#This Row],[Revenue]]&lt;20000,"Low Value")</f>
        <v>Low Value</v>
      </c>
      <c r="U19" s="1" t="str">
        <f>INDEX(Product_List!B:B, MATCH(Sales_All[[#This Row],[Product]], Product_List!A:A, 0))</f>
        <v>Electronics</v>
      </c>
      <c r="V19" s="1" t="str" cm="1">
        <f t="array" ref="V19">_xlfn.TEXTJOIN(", ", TRUE,IF(Sales_All[CustomerID] = Sales_All[[#This Row],[CustomerID]], Sales_All[Product], ""))</f>
        <v>Monitor, Headphones, Smartphone, Laptop, Printer, Smartphone</v>
      </c>
    </row>
    <row r="20" spans="1:22" x14ac:dyDescent="0.3">
      <c r="A20" s="1" t="s">
        <v>35</v>
      </c>
      <c r="B20" s="3">
        <v>45696.451539351852</v>
      </c>
      <c r="C20" s="5" t="s">
        <v>19</v>
      </c>
      <c r="D20">
        <v>1010</v>
      </c>
      <c r="E20" s="5" t="s">
        <v>11</v>
      </c>
      <c r="F20" s="1" t="str">
        <f>_xlfn.XLOOKUP(Sales_All[[#This Row],[Product]], Product_List!A:A, Product_List!B:B,)</f>
        <v>Accessories</v>
      </c>
      <c r="G20" s="1">
        <f>_xlfn.XLOOKUP(Sales_All[[#This Row],[Product]], Product_List!A:A, Product_List!D:D)</f>
        <v>323</v>
      </c>
      <c r="H20" s="7">
        <f>_xlfn.XLOOKUP(Sales_All[[#This Row],[Product]], Product_List!A:A, Product_List!E:E)</f>
        <v>0.1</v>
      </c>
      <c r="I20" s="4">
        <v>1</v>
      </c>
      <c r="J20" s="4">
        <v>1621</v>
      </c>
      <c r="K20" s="3">
        <f>EOMONTH(Sales_All[[#This Row],[Date]],0)</f>
        <v>45716</v>
      </c>
      <c r="L20" s="1">
        <f>_xlfn.XLOOKUP(Sales_All[[#This Row],[Month]], Finance_Data!A:A, Finance_Data!B:B)</f>
        <v>43320</v>
      </c>
      <c r="M20" s="1">
        <f>_xlfn.XLOOKUP(Sales_All[[#This Row],[Month]], Finance_Data!A:A, Finance_Data!C:C, 0)</f>
        <v>70533</v>
      </c>
      <c r="N20" s="1">
        <f>(Sales_All[[#This Row],[Quantity]]*Sales_All[[#This Row],[UnitPrice]]) - (Sales_All[[#This Row],[Quantity]]*Sales_All[[#This Row],[UnitCost]])  - Sales_All[[#This Row],[Overheads]] -Sales_All[[#This Row],[Salaries]]</f>
        <v>-112555</v>
      </c>
      <c r="O20">
        <f>_xlfn.XLOOKUP(Sales_All[[#This Row],[OrderID]], Operations_Data!A:A, Operations_Data!B:B)</f>
        <v>2</v>
      </c>
      <c r="P20">
        <f>_xlfn.XLOOKUP(Sales_All[[#This Row],[OrderID]], Operations_Data!A:A, Operations_Data!C:C)</f>
        <v>0</v>
      </c>
      <c r="Q20" s="1">
        <f>Sales_All[[#This Row],[Quantity]]*Sales_All[[#This Row],[UnitPrice]]</f>
        <v>1621</v>
      </c>
      <c r="R20" s="1">
        <f>Sales_All[[#This Row],[Revenue]]*(1-Sales_All[[#This Row],[Discount]])</f>
        <v>1458.9</v>
      </c>
      <c r="S20" s="1">
        <f>Sales_All[[#This Row],[Revenue]] -(Sales_All[[#This Row],[Quantity]]*Sales_All[[#This Row],[UnitCost]])-Sales_All[[#This Row],[Overheads]]</f>
        <v>-42022</v>
      </c>
      <c r="T20" s="1" t="str" cm="1">
        <f t="array" ref="T20">_xlfn.IFS(Sales_All[[#This Row],[Revenue]]&gt;50000,"VIP",Sales_All[[#This Row],[Revenue]]&gt;=20000,"Regular",Sales_All[[#This Row],[Revenue]]&lt;20000,"Low Value")</f>
        <v>Low Value</v>
      </c>
      <c r="U20" s="1" t="str">
        <f>INDEX(Product_List!B:B, MATCH(Sales_All[[#This Row],[Product]], Product_List!A:A, 0))</f>
        <v>Accessories</v>
      </c>
      <c r="V20" s="1" t="str" cm="1">
        <f t="array" ref="V20">_xlfn.TEXTJOIN(", ", TRUE,IF(Sales_All[CustomerID] = Sales_All[[#This Row],[CustomerID]], Sales_All[Product], ""))</f>
        <v>Headphones, Headphones, Smartphone, Monitor, Printer, Printer, Smartphone</v>
      </c>
    </row>
    <row r="21" spans="1:22" x14ac:dyDescent="0.3">
      <c r="A21" s="1" t="s">
        <v>36</v>
      </c>
      <c r="B21" s="3">
        <v>45738.816504629627</v>
      </c>
      <c r="C21" s="5" t="s">
        <v>19</v>
      </c>
      <c r="D21">
        <v>1004</v>
      </c>
      <c r="E21" s="5" t="s">
        <v>25</v>
      </c>
      <c r="F21" s="1" t="str">
        <f>_xlfn.XLOOKUP(Sales_All[[#This Row],[Product]], Product_List!A:A, Product_List!B:B,)</f>
        <v>Office</v>
      </c>
      <c r="G21" s="1">
        <f>_xlfn.XLOOKUP(Sales_All[[#This Row],[Product]], Product_List!A:A, Product_List!D:D)</f>
        <v>136</v>
      </c>
      <c r="H21" s="7">
        <f>_xlfn.XLOOKUP(Sales_All[[#This Row],[Product]], Product_List!A:A, Product_List!E:E)</f>
        <v>0.1</v>
      </c>
      <c r="I21" s="4">
        <v>3</v>
      </c>
      <c r="J21" s="4">
        <v>1010</v>
      </c>
      <c r="K21" s="3">
        <f>EOMONTH(Sales_All[[#This Row],[Date]],0)</f>
        <v>45747</v>
      </c>
      <c r="L21" s="1">
        <f>_xlfn.XLOOKUP(Sales_All[[#This Row],[Month]], Finance_Data!A:A, Finance_Data!B:B)</f>
        <v>34147</v>
      </c>
      <c r="M21" s="1">
        <f>_xlfn.XLOOKUP(Sales_All[[#This Row],[Month]], Finance_Data!A:A, Finance_Data!C:C, 0)</f>
        <v>63890</v>
      </c>
      <c r="N21" s="1">
        <f>(Sales_All[[#This Row],[Quantity]]*Sales_All[[#This Row],[UnitPrice]]) - (Sales_All[[#This Row],[Quantity]]*Sales_All[[#This Row],[UnitCost]])  - Sales_All[[#This Row],[Overheads]] -Sales_All[[#This Row],[Salaries]]</f>
        <v>-95415</v>
      </c>
      <c r="O21">
        <f>_xlfn.XLOOKUP(Sales_All[[#This Row],[OrderID]], Operations_Data!A:A, Operations_Data!B:B)</f>
        <v>1</v>
      </c>
      <c r="P21">
        <f>_xlfn.XLOOKUP(Sales_All[[#This Row],[OrderID]], Operations_Data!A:A, Operations_Data!C:C)</f>
        <v>0.02</v>
      </c>
      <c r="Q21" s="1">
        <f>Sales_All[[#This Row],[Quantity]]*Sales_All[[#This Row],[UnitPrice]]</f>
        <v>3030</v>
      </c>
      <c r="R21" s="1">
        <f>Sales_All[[#This Row],[Revenue]]*(1-Sales_All[[#This Row],[Discount]])</f>
        <v>2727</v>
      </c>
      <c r="S21" s="1">
        <f>Sales_All[[#This Row],[Revenue]] -(Sales_All[[#This Row],[Quantity]]*Sales_All[[#This Row],[UnitCost]])-Sales_All[[#This Row],[Overheads]]</f>
        <v>-31525</v>
      </c>
      <c r="T21" s="1" t="str" cm="1">
        <f t="array" ref="T21">_xlfn.IFS(Sales_All[[#This Row],[Revenue]]&gt;50000,"VIP",Sales_All[[#This Row],[Revenue]]&gt;=20000,"Regular",Sales_All[[#This Row],[Revenue]]&lt;20000,"Low Value")</f>
        <v>Low Value</v>
      </c>
      <c r="U21" s="1" t="str">
        <f>INDEX(Product_List!B:B, MATCH(Sales_All[[#This Row],[Product]], Product_List!A:A, 0))</f>
        <v>Office</v>
      </c>
      <c r="V21" s="1" t="str" cm="1">
        <f t="array" ref="V21">_xlfn.TEXTJOIN(", ", TRUE,IF(Sales_All[CustomerID] = Sales_All[[#This Row],[CustomerID]], Sales_All[Product], ""))</f>
        <v>Headphones, Printer, Laptop</v>
      </c>
    </row>
    <row r="22" spans="1:22" x14ac:dyDescent="0.3">
      <c r="A22" s="1" t="s">
        <v>37</v>
      </c>
      <c r="B22" s="3">
        <v>45713.211342592593</v>
      </c>
      <c r="C22" s="5" t="s">
        <v>8</v>
      </c>
      <c r="D22">
        <v>1008</v>
      </c>
      <c r="E22" s="5" t="s">
        <v>11</v>
      </c>
      <c r="F22" s="1" t="str">
        <f>_xlfn.XLOOKUP(Sales_All[[#This Row],[Product]], Product_List!A:A, Product_List!B:B,)</f>
        <v>Accessories</v>
      </c>
      <c r="G22" s="1">
        <f>_xlfn.XLOOKUP(Sales_All[[#This Row],[Product]], Product_List!A:A, Product_List!D:D)</f>
        <v>323</v>
      </c>
      <c r="H22" s="7">
        <f>_xlfn.XLOOKUP(Sales_All[[#This Row],[Product]], Product_List!A:A, Product_List!E:E)</f>
        <v>0.1</v>
      </c>
      <c r="I22" s="4">
        <v>7</v>
      </c>
      <c r="J22" s="4">
        <v>241</v>
      </c>
      <c r="K22" s="3">
        <f>EOMONTH(Sales_All[[#This Row],[Date]],0)</f>
        <v>45716</v>
      </c>
      <c r="L22" s="1">
        <f>_xlfn.XLOOKUP(Sales_All[[#This Row],[Month]], Finance_Data!A:A, Finance_Data!B:B)</f>
        <v>43320</v>
      </c>
      <c r="M22" s="1">
        <f>_xlfn.XLOOKUP(Sales_All[[#This Row],[Month]], Finance_Data!A:A, Finance_Data!C:C, 0)</f>
        <v>70533</v>
      </c>
      <c r="N22" s="1">
        <f>(Sales_All[[#This Row],[Quantity]]*Sales_All[[#This Row],[UnitPrice]]) - (Sales_All[[#This Row],[Quantity]]*Sales_All[[#This Row],[UnitCost]])  - Sales_All[[#This Row],[Overheads]] -Sales_All[[#This Row],[Salaries]]</f>
        <v>-114427</v>
      </c>
      <c r="O22">
        <f>_xlfn.XLOOKUP(Sales_All[[#This Row],[OrderID]], Operations_Data!A:A, Operations_Data!B:B)</f>
        <v>8</v>
      </c>
      <c r="P22">
        <f>_xlfn.XLOOKUP(Sales_All[[#This Row],[OrderID]], Operations_Data!A:A, Operations_Data!C:C)</f>
        <v>0.09</v>
      </c>
      <c r="Q22" s="1">
        <f>Sales_All[[#This Row],[Quantity]]*Sales_All[[#This Row],[UnitPrice]]</f>
        <v>1687</v>
      </c>
      <c r="R22" s="1">
        <f>Sales_All[[#This Row],[Revenue]]*(1-Sales_All[[#This Row],[Discount]])</f>
        <v>1518.3</v>
      </c>
      <c r="S22" s="1">
        <f>Sales_All[[#This Row],[Revenue]] -(Sales_All[[#This Row],[Quantity]]*Sales_All[[#This Row],[UnitCost]])-Sales_All[[#This Row],[Overheads]]</f>
        <v>-43894</v>
      </c>
      <c r="T22" s="1" t="str" cm="1">
        <f t="array" ref="T22">_xlfn.IFS(Sales_All[[#This Row],[Revenue]]&gt;50000,"VIP",Sales_All[[#This Row],[Revenue]]&gt;=20000,"Regular",Sales_All[[#This Row],[Revenue]]&lt;20000,"Low Value")</f>
        <v>Low Value</v>
      </c>
      <c r="U22" s="1" t="str">
        <f>INDEX(Product_List!B:B, MATCH(Sales_All[[#This Row],[Product]], Product_List!A:A, 0))</f>
        <v>Accessories</v>
      </c>
      <c r="V22" s="1" t="str" cm="1">
        <f t="array" ref="V22">_xlfn.TEXTJOIN(", ", TRUE,IF(Sales_All[CustomerID] = Sales_All[[#This Row],[CustomerID]], Sales_All[Product], ""))</f>
        <v>Smartphone, Headphones, Laptop</v>
      </c>
    </row>
    <row r="23" spans="1:22" x14ac:dyDescent="0.3">
      <c r="A23" s="1" t="s">
        <v>38</v>
      </c>
      <c r="B23" s="3">
        <v>45723.977905092594</v>
      </c>
      <c r="C23" s="5" t="s">
        <v>13</v>
      </c>
      <c r="D23">
        <v>1005</v>
      </c>
      <c r="E23" s="5" t="s">
        <v>25</v>
      </c>
      <c r="F23" s="1" t="str">
        <f>_xlfn.XLOOKUP(Sales_All[[#This Row],[Product]], Product_List!A:A, Product_List!B:B,)</f>
        <v>Office</v>
      </c>
      <c r="G23" s="1">
        <f>_xlfn.XLOOKUP(Sales_All[[#This Row],[Product]], Product_List!A:A, Product_List!D:D)</f>
        <v>136</v>
      </c>
      <c r="H23" s="7">
        <f>_xlfn.XLOOKUP(Sales_All[[#This Row],[Product]], Product_List!A:A, Product_List!E:E)</f>
        <v>0.1</v>
      </c>
      <c r="I23" s="4">
        <v>7</v>
      </c>
      <c r="J23" s="4">
        <v>1336</v>
      </c>
      <c r="K23" s="3">
        <f>EOMONTH(Sales_All[[#This Row],[Date]],0)</f>
        <v>45747</v>
      </c>
      <c r="L23" s="1">
        <f>_xlfn.XLOOKUP(Sales_All[[#This Row],[Month]], Finance_Data!A:A, Finance_Data!B:B)</f>
        <v>34147</v>
      </c>
      <c r="M23" s="1">
        <f>_xlfn.XLOOKUP(Sales_All[[#This Row],[Month]], Finance_Data!A:A, Finance_Data!C:C, 0)</f>
        <v>63890</v>
      </c>
      <c r="N23" s="1">
        <f>(Sales_All[[#This Row],[Quantity]]*Sales_All[[#This Row],[UnitPrice]]) - (Sales_All[[#This Row],[Quantity]]*Sales_All[[#This Row],[UnitCost]])  - Sales_All[[#This Row],[Overheads]] -Sales_All[[#This Row],[Salaries]]</f>
        <v>-89637</v>
      </c>
      <c r="O23">
        <f>_xlfn.XLOOKUP(Sales_All[[#This Row],[OrderID]], Operations_Data!A:A, Operations_Data!B:B)</f>
        <v>7</v>
      </c>
      <c r="P23">
        <f>_xlfn.XLOOKUP(Sales_All[[#This Row],[OrderID]], Operations_Data!A:A, Operations_Data!C:C)</f>
        <v>0.1</v>
      </c>
      <c r="Q23" s="1">
        <f>Sales_All[[#This Row],[Quantity]]*Sales_All[[#This Row],[UnitPrice]]</f>
        <v>9352</v>
      </c>
      <c r="R23" s="1">
        <f>Sales_All[[#This Row],[Revenue]]*(1-Sales_All[[#This Row],[Discount]])</f>
        <v>8416.8000000000011</v>
      </c>
      <c r="S23" s="1">
        <f>Sales_All[[#This Row],[Revenue]] -(Sales_All[[#This Row],[Quantity]]*Sales_All[[#This Row],[UnitCost]])-Sales_All[[#This Row],[Overheads]]</f>
        <v>-25747</v>
      </c>
      <c r="T23" s="1" t="str" cm="1">
        <f t="array" ref="T23">_xlfn.IFS(Sales_All[[#This Row],[Revenue]]&gt;50000,"VIP",Sales_All[[#This Row],[Revenue]]&gt;=20000,"Regular",Sales_All[[#This Row],[Revenue]]&lt;20000,"Low Value")</f>
        <v>Low Value</v>
      </c>
      <c r="U23" s="1" t="str">
        <f>INDEX(Product_List!B:B, MATCH(Sales_All[[#This Row],[Product]], Product_List!A:A, 0))</f>
        <v>Office</v>
      </c>
      <c r="V23" s="1" t="str" cm="1">
        <f t="array" ref="V23">_xlfn.TEXTJOIN(", ", TRUE,IF(Sales_All[CustomerID] = Sales_All[[#This Row],[CustomerID]], Sales_All[Product], ""))</f>
        <v>Monitor, Printer, Printer, Printer, Tablet</v>
      </c>
    </row>
    <row r="24" spans="1:22" x14ac:dyDescent="0.3">
      <c r="A24" s="1" t="s">
        <v>39</v>
      </c>
      <c r="B24" s="3">
        <v>45662.648842592593</v>
      </c>
      <c r="C24" s="5" t="s">
        <v>13</v>
      </c>
      <c r="D24">
        <v>1006</v>
      </c>
      <c r="E24" s="5" t="s">
        <v>20</v>
      </c>
      <c r="F24" s="1" t="str">
        <f>_xlfn.XLOOKUP(Sales_All[[#This Row],[Product]], Product_List!A:A, Product_List!B:B,)</f>
        <v>Electronics</v>
      </c>
      <c r="G24" s="1">
        <f>_xlfn.XLOOKUP(Sales_All[[#This Row],[Product]], Product_List!A:A, Product_List!D:D)</f>
        <v>469</v>
      </c>
      <c r="H24" s="7">
        <f>_xlfn.XLOOKUP(Sales_All[[#This Row],[Product]], Product_List!A:A, Product_List!E:E)</f>
        <v>0.22</v>
      </c>
      <c r="I24" s="4">
        <v>3</v>
      </c>
      <c r="J24" s="4">
        <v>1752</v>
      </c>
      <c r="K24" s="3">
        <f>EOMONTH(Sales_All[[#This Row],[Date]],0)</f>
        <v>45688</v>
      </c>
      <c r="L24" s="1">
        <f>_xlfn.XLOOKUP(Sales_All[[#This Row],[Month]], Finance_Data!A:A, Finance_Data!B:B)</f>
        <v>25640</v>
      </c>
      <c r="M24" s="1">
        <f>_xlfn.XLOOKUP(Sales_All[[#This Row],[Month]], Finance_Data!A:A, Finance_Data!C:C, 0)</f>
        <v>60082</v>
      </c>
      <c r="N24" s="1">
        <f>(Sales_All[[#This Row],[Quantity]]*Sales_All[[#This Row],[UnitPrice]]) - (Sales_All[[#This Row],[Quantity]]*Sales_All[[#This Row],[UnitCost]])  - Sales_All[[#This Row],[Overheads]] -Sales_All[[#This Row],[Salaries]]</f>
        <v>-81873</v>
      </c>
      <c r="O24">
        <f>_xlfn.XLOOKUP(Sales_All[[#This Row],[OrderID]], Operations_Data!A:A, Operations_Data!B:B)</f>
        <v>3</v>
      </c>
      <c r="P24">
        <f>_xlfn.XLOOKUP(Sales_All[[#This Row],[OrderID]], Operations_Data!A:A, Operations_Data!C:C)</f>
        <v>0.02</v>
      </c>
      <c r="Q24" s="1">
        <f>Sales_All[[#This Row],[Quantity]]*Sales_All[[#This Row],[UnitPrice]]</f>
        <v>5256</v>
      </c>
      <c r="R24" s="1">
        <f>Sales_All[[#This Row],[Revenue]]*(1-Sales_All[[#This Row],[Discount]])</f>
        <v>4099.68</v>
      </c>
      <c r="S24" s="1">
        <f>Sales_All[[#This Row],[Revenue]] -(Sales_All[[#This Row],[Quantity]]*Sales_All[[#This Row],[UnitCost]])-Sales_All[[#This Row],[Overheads]]</f>
        <v>-21791</v>
      </c>
      <c r="T24" s="1" t="str" cm="1">
        <f t="array" ref="T24">_xlfn.IFS(Sales_All[[#This Row],[Revenue]]&gt;50000,"VIP",Sales_All[[#This Row],[Revenue]]&gt;=20000,"Regular",Sales_All[[#This Row],[Revenue]]&lt;20000,"Low Value")</f>
        <v>Low Value</v>
      </c>
      <c r="U24" s="1" t="str">
        <f>INDEX(Product_List!B:B, MATCH(Sales_All[[#This Row],[Product]], Product_List!A:A, 0))</f>
        <v>Electronics</v>
      </c>
      <c r="V24" s="1" t="str" cm="1">
        <f t="array" ref="V24">_xlfn.TEXTJOIN(", ", TRUE,IF(Sales_All[CustomerID] = Sales_All[[#This Row],[CustomerID]], Sales_All[Product], ""))</f>
        <v>Laptop, Laptop, Headphones, Monitor, Headphones, Monitor</v>
      </c>
    </row>
    <row r="25" spans="1:22" x14ac:dyDescent="0.3">
      <c r="A25" s="1" t="s">
        <v>40</v>
      </c>
      <c r="B25" s="3">
        <v>45715.878263888888</v>
      </c>
      <c r="C25" s="5" t="s">
        <v>16</v>
      </c>
      <c r="D25">
        <v>1020</v>
      </c>
      <c r="E25" s="5" t="s">
        <v>11</v>
      </c>
      <c r="F25" s="1" t="str">
        <f>_xlfn.XLOOKUP(Sales_All[[#This Row],[Product]], Product_List!A:A, Product_List!B:B,)</f>
        <v>Accessories</v>
      </c>
      <c r="G25" s="1">
        <f>_xlfn.XLOOKUP(Sales_All[[#This Row],[Product]], Product_List!A:A, Product_List!D:D)</f>
        <v>323</v>
      </c>
      <c r="H25" s="7">
        <f>_xlfn.XLOOKUP(Sales_All[[#This Row],[Product]], Product_List!A:A, Product_List!E:E)</f>
        <v>0.1</v>
      </c>
      <c r="I25" s="4">
        <v>8</v>
      </c>
      <c r="J25" s="4">
        <v>911</v>
      </c>
      <c r="K25" s="3">
        <f>EOMONTH(Sales_All[[#This Row],[Date]],0)</f>
        <v>45716</v>
      </c>
      <c r="L25" s="1">
        <f>_xlfn.XLOOKUP(Sales_All[[#This Row],[Month]], Finance_Data!A:A, Finance_Data!B:B)</f>
        <v>43320</v>
      </c>
      <c r="M25" s="1">
        <f>_xlfn.XLOOKUP(Sales_All[[#This Row],[Month]], Finance_Data!A:A, Finance_Data!C:C, 0)</f>
        <v>70533</v>
      </c>
      <c r="N25" s="1">
        <f>(Sales_All[[#This Row],[Quantity]]*Sales_All[[#This Row],[UnitPrice]]) - (Sales_All[[#This Row],[Quantity]]*Sales_All[[#This Row],[UnitCost]])  - Sales_All[[#This Row],[Overheads]] -Sales_All[[#This Row],[Salaries]]</f>
        <v>-109149</v>
      </c>
      <c r="O25">
        <f>_xlfn.XLOOKUP(Sales_All[[#This Row],[OrderID]], Operations_Data!A:A, Operations_Data!B:B)</f>
        <v>1</v>
      </c>
      <c r="P25">
        <f>_xlfn.XLOOKUP(Sales_All[[#This Row],[OrderID]], Operations_Data!A:A, Operations_Data!C:C)</f>
        <v>0.04</v>
      </c>
      <c r="Q25" s="1">
        <f>Sales_All[[#This Row],[Quantity]]*Sales_All[[#This Row],[UnitPrice]]</f>
        <v>7288</v>
      </c>
      <c r="R25" s="1">
        <f>Sales_All[[#This Row],[Revenue]]*(1-Sales_All[[#This Row],[Discount]])</f>
        <v>6559.2</v>
      </c>
      <c r="S25" s="1">
        <f>Sales_All[[#This Row],[Revenue]] -(Sales_All[[#This Row],[Quantity]]*Sales_All[[#This Row],[UnitCost]])-Sales_All[[#This Row],[Overheads]]</f>
        <v>-38616</v>
      </c>
      <c r="T25" s="1" t="str" cm="1">
        <f t="array" ref="T25">_xlfn.IFS(Sales_All[[#This Row],[Revenue]]&gt;50000,"VIP",Sales_All[[#This Row],[Revenue]]&gt;=20000,"Regular",Sales_All[[#This Row],[Revenue]]&lt;20000,"Low Value")</f>
        <v>Low Value</v>
      </c>
      <c r="U25" s="1" t="str">
        <f>INDEX(Product_List!B:B, MATCH(Sales_All[[#This Row],[Product]], Product_List!A:A, 0))</f>
        <v>Accessories</v>
      </c>
      <c r="V25" s="1" t="str" cm="1">
        <f t="array" ref="V25">_xlfn.TEXTJOIN(", ", TRUE,IF(Sales_All[CustomerID] = Sales_All[[#This Row],[CustomerID]], Sales_All[Product], ""))</f>
        <v>Printer, Headphones, Laptop, Printer</v>
      </c>
    </row>
    <row r="26" spans="1:22" x14ac:dyDescent="0.3">
      <c r="A26" s="1" t="s">
        <v>41</v>
      </c>
      <c r="B26" s="3">
        <v>45710.772175925929</v>
      </c>
      <c r="C26" s="5" t="s">
        <v>8</v>
      </c>
      <c r="D26">
        <v>1007</v>
      </c>
      <c r="E26" s="5" t="s">
        <v>14</v>
      </c>
      <c r="F26" s="1" t="str">
        <f>_xlfn.XLOOKUP(Sales_All[[#This Row],[Product]], Product_List!A:A, Product_List!B:B,)</f>
        <v>Electronics</v>
      </c>
      <c r="G26" s="1">
        <f>_xlfn.XLOOKUP(Sales_All[[#This Row],[Product]], Product_List!A:A, Product_List!D:D)</f>
        <v>463</v>
      </c>
      <c r="H26" s="7">
        <f>_xlfn.XLOOKUP(Sales_All[[#This Row],[Product]], Product_List!A:A, Product_List!E:E)</f>
        <v>0.23</v>
      </c>
      <c r="I26" s="4">
        <v>8</v>
      </c>
      <c r="J26" s="4">
        <v>1770</v>
      </c>
      <c r="K26" s="3">
        <f>EOMONTH(Sales_All[[#This Row],[Date]],0)</f>
        <v>45716</v>
      </c>
      <c r="L26" s="1">
        <f>_xlfn.XLOOKUP(Sales_All[[#This Row],[Month]], Finance_Data!A:A, Finance_Data!B:B)</f>
        <v>43320</v>
      </c>
      <c r="M26" s="1">
        <f>_xlfn.XLOOKUP(Sales_All[[#This Row],[Month]], Finance_Data!A:A, Finance_Data!C:C, 0)</f>
        <v>70533</v>
      </c>
      <c r="N26" s="1">
        <f>(Sales_All[[#This Row],[Quantity]]*Sales_All[[#This Row],[UnitPrice]]) - (Sales_All[[#This Row],[Quantity]]*Sales_All[[#This Row],[UnitCost]])  - Sales_All[[#This Row],[Overheads]] -Sales_All[[#This Row],[Salaries]]</f>
        <v>-103397</v>
      </c>
      <c r="O26">
        <f>_xlfn.XLOOKUP(Sales_All[[#This Row],[OrderID]], Operations_Data!A:A, Operations_Data!B:B)</f>
        <v>9</v>
      </c>
      <c r="P26">
        <f>_xlfn.XLOOKUP(Sales_All[[#This Row],[OrderID]], Operations_Data!A:A, Operations_Data!C:C)</f>
        <v>0.05</v>
      </c>
      <c r="Q26" s="1">
        <f>Sales_All[[#This Row],[Quantity]]*Sales_All[[#This Row],[UnitPrice]]</f>
        <v>14160</v>
      </c>
      <c r="R26" s="1">
        <f>Sales_All[[#This Row],[Revenue]]*(1-Sales_All[[#This Row],[Discount]])</f>
        <v>10903.2</v>
      </c>
      <c r="S26" s="1">
        <f>Sales_All[[#This Row],[Revenue]] -(Sales_All[[#This Row],[Quantity]]*Sales_All[[#This Row],[UnitCost]])-Sales_All[[#This Row],[Overheads]]</f>
        <v>-32864</v>
      </c>
      <c r="T26" s="1" t="str" cm="1">
        <f t="array" ref="T26">_xlfn.IFS(Sales_All[[#This Row],[Revenue]]&gt;50000,"VIP",Sales_All[[#This Row],[Revenue]]&gt;=20000,"Regular",Sales_All[[#This Row],[Revenue]]&lt;20000,"Low Value")</f>
        <v>Low Value</v>
      </c>
      <c r="U26" s="1" t="str">
        <f>INDEX(Product_List!B:B, MATCH(Sales_All[[#This Row],[Product]], Product_List!A:A, 0))</f>
        <v>Electronics</v>
      </c>
      <c r="V26" s="1" t="str" cm="1">
        <f t="array" ref="V26">_xlfn.TEXTJOIN(", ", TRUE,IF(Sales_All[CustomerID] = Sales_All[[#This Row],[CustomerID]], Sales_All[Product], ""))</f>
        <v>Monitor, Laptop, Smartphone, Monitor</v>
      </c>
    </row>
    <row r="27" spans="1:22" x14ac:dyDescent="0.3">
      <c r="A27" s="1" t="s">
        <v>42</v>
      </c>
      <c r="B27" s="3">
        <v>45660.179594907408</v>
      </c>
      <c r="C27" s="5" t="s">
        <v>19</v>
      </c>
      <c r="D27">
        <v>1009</v>
      </c>
      <c r="E27" s="5" t="s">
        <v>11</v>
      </c>
      <c r="F27" s="1" t="str">
        <f>_xlfn.XLOOKUP(Sales_All[[#This Row],[Product]], Product_List!A:A, Product_List!B:B,)</f>
        <v>Accessories</v>
      </c>
      <c r="G27" s="1">
        <f>_xlfn.XLOOKUP(Sales_All[[#This Row],[Product]], Product_List!A:A, Product_List!D:D)</f>
        <v>323</v>
      </c>
      <c r="H27" s="7">
        <f>_xlfn.XLOOKUP(Sales_All[[#This Row],[Product]], Product_List!A:A, Product_List!E:E)</f>
        <v>0.1</v>
      </c>
      <c r="I27" s="4">
        <v>1</v>
      </c>
      <c r="J27" s="4">
        <v>1841</v>
      </c>
      <c r="K27" s="3">
        <f>EOMONTH(Sales_All[[#This Row],[Date]],0)</f>
        <v>45688</v>
      </c>
      <c r="L27" s="1">
        <f>_xlfn.XLOOKUP(Sales_All[[#This Row],[Month]], Finance_Data!A:A, Finance_Data!B:B)</f>
        <v>25640</v>
      </c>
      <c r="M27" s="1">
        <f>_xlfn.XLOOKUP(Sales_All[[#This Row],[Month]], Finance_Data!A:A, Finance_Data!C:C, 0)</f>
        <v>60082</v>
      </c>
      <c r="N27" s="1">
        <f>(Sales_All[[#This Row],[Quantity]]*Sales_All[[#This Row],[UnitPrice]]) - (Sales_All[[#This Row],[Quantity]]*Sales_All[[#This Row],[UnitCost]])  - Sales_All[[#This Row],[Overheads]] -Sales_All[[#This Row],[Salaries]]</f>
        <v>-84204</v>
      </c>
      <c r="O27">
        <f>_xlfn.XLOOKUP(Sales_All[[#This Row],[OrderID]], Operations_Data!A:A, Operations_Data!B:B)</f>
        <v>3</v>
      </c>
      <c r="P27">
        <f>_xlfn.XLOOKUP(Sales_All[[#This Row],[OrderID]], Operations_Data!A:A, Operations_Data!C:C)</f>
        <v>0.03</v>
      </c>
      <c r="Q27" s="1">
        <f>Sales_All[[#This Row],[Quantity]]*Sales_All[[#This Row],[UnitPrice]]</f>
        <v>1841</v>
      </c>
      <c r="R27" s="1">
        <f>Sales_All[[#This Row],[Revenue]]*(1-Sales_All[[#This Row],[Discount]])</f>
        <v>1656.9</v>
      </c>
      <c r="S27" s="1">
        <f>Sales_All[[#This Row],[Revenue]] -(Sales_All[[#This Row],[Quantity]]*Sales_All[[#This Row],[UnitCost]])-Sales_All[[#This Row],[Overheads]]</f>
        <v>-24122</v>
      </c>
      <c r="T27" s="1" t="str" cm="1">
        <f t="array" ref="T27">_xlfn.IFS(Sales_All[[#This Row],[Revenue]]&gt;50000,"VIP",Sales_All[[#This Row],[Revenue]]&gt;=20000,"Regular",Sales_All[[#This Row],[Revenue]]&lt;20000,"Low Value")</f>
        <v>Low Value</v>
      </c>
      <c r="U27" s="1" t="str">
        <f>INDEX(Product_List!B:B, MATCH(Sales_All[[#This Row],[Product]], Product_List!A:A, 0))</f>
        <v>Accessories</v>
      </c>
      <c r="V27" s="1" t="str" cm="1">
        <f t="array" ref="V27">_xlfn.TEXTJOIN(", ", TRUE,IF(Sales_All[CustomerID] = Sales_All[[#This Row],[CustomerID]], Sales_All[Product], ""))</f>
        <v>Monitor, Headphones, Smartphone, Laptop, Printer, Smartphone</v>
      </c>
    </row>
    <row r="28" spans="1:22" x14ac:dyDescent="0.3">
      <c r="A28" s="1" t="s">
        <v>43</v>
      </c>
      <c r="B28" s="3">
        <v>45718.188310185193</v>
      </c>
      <c r="C28" s="5" t="s">
        <v>16</v>
      </c>
      <c r="D28">
        <v>1001</v>
      </c>
      <c r="E28" s="5" t="s">
        <v>14</v>
      </c>
      <c r="F28" s="1" t="str">
        <f>_xlfn.XLOOKUP(Sales_All[[#This Row],[Product]], Product_List!A:A, Product_List!B:B,)</f>
        <v>Electronics</v>
      </c>
      <c r="G28" s="1">
        <f>_xlfn.XLOOKUP(Sales_All[[#This Row],[Product]], Product_List!A:A, Product_List!D:D)</f>
        <v>463</v>
      </c>
      <c r="H28" s="7">
        <f>_xlfn.XLOOKUP(Sales_All[[#This Row],[Product]], Product_List!A:A, Product_List!E:E)</f>
        <v>0.23</v>
      </c>
      <c r="I28" s="4">
        <v>7</v>
      </c>
      <c r="J28" s="4">
        <v>796</v>
      </c>
      <c r="K28" s="3">
        <f>EOMONTH(Sales_All[[#This Row],[Date]],0)</f>
        <v>45747</v>
      </c>
      <c r="L28" s="1">
        <f>_xlfn.XLOOKUP(Sales_All[[#This Row],[Month]], Finance_Data!A:A, Finance_Data!B:B)</f>
        <v>34147</v>
      </c>
      <c r="M28" s="1">
        <f>_xlfn.XLOOKUP(Sales_All[[#This Row],[Month]], Finance_Data!A:A, Finance_Data!C:C, 0)</f>
        <v>63890</v>
      </c>
      <c r="N28" s="1">
        <f>(Sales_All[[#This Row],[Quantity]]*Sales_All[[#This Row],[UnitPrice]]) - (Sales_All[[#This Row],[Quantity]]*Sales_All[[#This Row],[UnitCost]])  - Sales_All[[#This Row],[Overheads]] -Sales_All[[#This Row],[Salaries]]</f>
        <v>-95706</v>
      </c>
      <c r="O28">
        <f>_xlfn.XLOOKUP(Sales_All[[#This Row],[OrderID]], Operations_Data!A:A, Operations_Data!B:B)</f>
        <v>6</v>
      </c>
      <c r="P28">
        <f>_xlfn.XLOOKUP(Sales_All[[#This Row],[OrderID]], Operations_Data!A:A, Operations_Data!C:C)</f>
        <v>0.05</v>
      </c>
      <c r="Q28" s="1">
        <f>Sales_All[[#This Row],[Quantity]]*Sales_All[[#This Row],[UnitPrice]]</f>
        <v>5572</v>
      </c>
      <c r="R28" s="1">
        <f>Sales_All[[#This Row],[Revenue]]*(1-Sales_All[[#This Row],[Discount]])</f>
        <v>4290.4400000000005</v>
      </c>
      <c r="S28" s="1">
        <f>Sales_All[[#This Row],[Revenue]] -(Sales_All[[#This Row],[Quantity]]*Sales_All[[#This Row],[UnitCost]])-Sales_All[[#This Row],[Overheads]]</f>
        <v>-31816</v>
      </c>
      <c r="T28" s="1" t="str" cm="1">
        <f t="array" ref="T28">_xlfn.IFS(Sales_All[[#This Row],[Revenue]]&gt;50000,"VIP",Sales_All[[#This Row],[Revenue]]&gt;=20000,"Regular",Sales_All[[#This Row],[Revenue]]&lt;20000,"Low Value")</f>
        <v>Low Value</v>
      </c>
      <c r="U28" s="1" t="str">
        <f>INDEX(Product_List!B:B, MATCH(Sales_All[[#This Row],[Product]], Product_List!A:A, 0))</f>
        <v>Electronics</v>
      </c>
      <c r="V28" s="1" t="str" cm="1">
        <f t="array" ref="V28">_xlfn.TEXTJOIN(", ", TRUE,IF(Sales_All[CustomerID] = Sales_All[[#This Row],[CustomerID]], Sales_All[Product], ""))</f>
        <v>Printer, Monitor, Smartphone, Headphones, Monitor, Monitor, Laptop, Laptop</v>
      </c>
    </row>
    <row r="29" spans="1:22" x14ac:dyDescent="0.3">
      <c r="A29" s="1" t="s">
        <v>44</v>
      </c>
      <c r="B29" s="3">
        <v>45685.123541666668</v>
      </c>
      <c r="C29" s="5" t="s">
        <v>13</v>
      </c>
      <c r="D29">
        <v>1003</v>
      </c>
      <c r="E29" s="5" t="s">
        <v>14</v>
      </c>
      <c r="F29" s="1" t="str">
        <f>_xlfn.XLOOKUP(Sales_All[[#This Row],[Product]], Product_List!A:A, Product_List!B:B,)</f>
        <v>Electronics</v>
      </c>
      <c r="G29" s="1">
        <f>_xlfn.XLOOKUP(Sales_All[[#This Row],[Product]], Product_List!A:A, Product_List!D:D)</f>
        <v>463</v>
      </c>
      <c r="H29" s="7">
        <f>_xlfn.XLOOKUP(Sales_All[[#This Row],[Product]], Product_List!A:A, Product_List!E:E)</f>
        <v>0.23</v>
      </c>
      <c r="I29" s="4">
        <v>6</v>
      </c>
      <c r="J29" s="4">
        <v>1011</v>
      </c>
      <c r="K29" s="3">
        <f>EOMONTH(Sales_All[[#This Row],[Date]],0)</f>
        <v>45688</v>
      </c>
      <c r="L29" s="1">
        <f>_xlfn.XLOOKUP(Sales_All[[#This Row],[Month]], Finance_Data!A:A, Finance_Data!B:B)</f>
        <v>25640</v>
      </c>
      <c r="M29" s="1">
        <f>_xlfn.XLOOKUP(Sales_All[[#This Row],[Month]], Finance_Data!A:A, Finance_Data!C:C, 0)</f>
        <v>60082</v>
      </c>
      <c r="N29" s="1">
        <f>(Sales_All[[#This Row],[Quantity]]*Sales_All[[#This Row],[UnitPrice]]) - (Sales_All[[#This Row],[Quantity]]*Sales_All[[#This Row],[UnitCost]])  - Sales_All[[#This Row],[Overheads]] -Sales_All[[#This Row],[Salaries]]</f>
        <v>-82434</v>
      </c>
      <c r="O29">
        <f>_xlfn.XLOOKUP(Sales_All[[#This Row],[OrderID]], Operations_Data!A:A, Operations_Data!B:B)</f>
        <v>2</v>
      </c>
      <c r="P29">
        <f>_xlfn.XLOOKUP(Sales_All[[#This Row],[OrderID]], Operations_Data!A:A, Operations_Data!C:C)</f>
        <v>7.0000000000000007E-2</v>
      </c>
      <c r="Q29" s="1">
        <f>Sales_All[[#This Row],[Quantity]]*Sales_All[[#This Row],[UnitPrice]]</f>
        <v>6066</v>
      </c>
      <c r="R29" s="1">
        <f>Sales_All[[#This Row],[Revenue]]*(1-Sales_All[[#This Row],[Discount]])</f>
        <v>4670.82</v>
      </c>
      <c r="S29" s="1">
        <f>Sales_All[[#This Row],[Revenue]] -(Sales_All[[#This Row],[Quantity]]*Sales_All[[#This Row],[UnitCost]])-Sales_All[[#This Row],[Overheads]]</f>
        <v>-22352</v>
      </c>
      <c r="T29" s="1" t="str" cm="1">
        <f t="array" ref="T29">_xlfn.IFS(Sales_All[[#This Row],[Revenue]]&gt;50000,"VIP",Sales_All[[#This Row],[Revenue]]&gt;=20000,"Regular",Sales_All[[#This Row],[Revenue]]&lt;20000,"Low Value")</f>
        <v>Low Value</v>
      </c>
      <c r="U29" s="1" t="str">
        <f>INDEX(Product_List!B:B, MATCH(Sales_All[[#This Row],[Product]], Product_List!A:A, 0))</f>
        <v>Electronics</v>
      </c>
      <c r="V29" s="1" t="str" cm="1">
        <f t="array" ref="V29">_xlfn.TEXTJOIN(", ", TRUE,IF(Sales_All[CustomerID] = Sales_All[[#This Row],[CustomerID]], Sales_All[Product], ""))</f>
        <v>Printer, Monitor, Headphones, Monitor</v>
      </c>
    </row>
    <row r="30" spans="1:22" x14ac:dyDescent="0.3">
      <c r="A30" s="1" t="s">
        <v>45</v>
      </c>
      <c r="B30" s="3">
        <v>45722.085451388892</v>
      </c>
      <c r="C30" s="5" t="s">
        <v>13</v>
      </c>
      <c r="D30">
        <v>1011</v>
      </c>
      <c r="E30" s="5" t="s">
        <v>25</v>
      </c>
      <c r="F30" s="1" t="str">
        <f>_xlfn.XLOOKUP(Sales_All[[#This Row],[Product]], Product_List!A:A, Product_List!B:B,)</f>
        <v>Office</v>
      </c>
      <c r="G30" s="1">
        <f>_xlfn.XLOOKUP(Sales_All[[#This Row],[Product]], Product_List!A:A, Product_List!D:D)</f>
        <v>136</v>
      </c>
      <c r="H30" s="7">
        <f>_xlfn.XLOOKUP(Sales_All[[#This Row],[Product]], Product_List!A:A, Product_List!E:E)</f>
        <v>0.1</v>
      </c>
      <c r="I30" s="4">
        <v>2</v>
      </c>
      <c r="J30" s="4">
        <v>1660</v>
      </c>
      <c r="K30" s="3">
        <f>EOMONTH(Sales_All[[#This Row],[Date]],0)</f>
        <v>45747</v>
      </c>
      <c r="L30" s="1">
        <f>_xlfn.XLOOKUP(Sales_All[[#This Row],[Month]], Finance_Data!A:A, Finance_Data!B:B)</f>
        <v>34147</v>
      </c>
      <c r="M30" s="1">
        <f>_xlfn.XLOOKUP(Sales_All[[#This Row],[Month]], Finance_Data!A:A, Finance_Data!C:C, 0)</f>
        <v>63890</v>
      </c>
      <c r="N30" s="1">
        <f>(Sales_All[[#This Row],[Quantity]]*Sales_All[[#This Row],[UnitPrice]]) - (Sales_All[[#This Row],[Quantity]]*Sales_All[[#This Row],[UnitCost]])  - Sales_All[[#This Row],[Overheads]] -Sales_All[[#This Row],[Salaries]]</f>
        <v>-94989</v>
      </c>
      <c r="O30">
        <f>_xlfn.XLOOKUP(Sales_All[[#This Row],[OrderID]], Operations_Data!A:A, Operations_Data!B:B)</f>
        <v>9</v>
      </c>
      <c r="P30">
        <f>_xlfn.XLOOKUP(Sales_All[[#This Row],[OrderID]], Operations_Data!A:A, Operations_Data!C:C)</f>
        <v>0.05</v>
      </c>
      <c r="Q30" s="1">
        <f>Sales_All[[#This Row],[Quantity]]*Sales_All[[#This Row],[UnitPrice]]</f>
        <v>3320</v>
      </c>
      <c r="R30" s="1">
        <f>Sales_All[[#This Row],[Revenue]]*(1-Sales_All[[#This Row],[Discount]])</f>
        <v>2988</v>
      </c>
      <c r="S30" s="1">
        <f>Sales_All[[#This Row],[Revenue]] -(Sales_All[[#This Row],[Quantity]]*Sales_All[[#This Row],[UnitCost]])-Sales_All[[#This Row],[Overheads]]</f>
        <v>-31099</v>
      </c>
      <c r="T30" s="1" t="str" cm="1">
        <f t="array" ref="T30">_xlfn.IFS(Sales_All[[#This Row],[Revenue]]&gt;50000,"VIP",Sales_All[[#This Row],[Revenue]]&gt;=20000,"Regular",Sales_All[[#This Row],[Revenue]]&lt;20000,"Low Value")</f>
        <v>Low Value</v>
      </c>
      <c r="U30" s="1" t="str">
        <f>INDEX(Product_List!B:B, MATCH(Sales_All[[#This Row],[Product]], Product_List!A:A, 0))</f>
        <v>Office</v>
      </c>
      <c r="V30" s="1" t="str" cm="1">
        <f t="array" ref="V30">_xlfn.TEXTJOIN(", ", TRUE,IF(Sales_All[CustomerID] = Sales_All[[#This Row],[CustomerID]], Sales_All[Product], ""))</f>
        <v>Printer, Headphones, Tablet</v>
      </c>
    </row>
    <row r="31" spans="1:22" x14ac:dyDescent="0.3">
      <c r="A31" s="1" t="s">
        <v>46</v>
      </c>
      <c r="B31" s="3">
        <v>45666.62767361111</v>
      </c>
      <c r="C31" s="5" t="s">
        <v>16</v>
      </c>
      <c r="D31">
        <v>1016</v>
      </c>
      <c r="E31" s="5" t="s">
        <v>14</v>
      </c>
      <c r="F31" s="1" t="str">
        <f>_xlfn.XLOOKUP(Sales_All[[#This Row],[Product]], Product_List!A:A, Product_List!B:B,)</f>
        <v>Electronics</v>
      </c>
      <c r="G31" s="1">
        <f>_xlfn.XLOOKUP(Sales_All[[#This Row],[Product]], Product_List!A:A, Product_List!D:D)</f>
        <v>463</v>
      </c>
      <c r="H31" s="7">
        <f>_xlfn.XLOOKUP(Sales_All[[#This Row],[Product]], Product_List!A:A, Product_List!E:E)</f>
        <v>0.23</v>
      </c>
      <c r="I31" s="4">
        <v>5</v>
      </c>
      <c r="J31" s="4">
        <v>1119</v>
      </c>
      <c r="K31" s="3">
        <f>EOMONTH(Sales_All[[#This Row],[Date]],0)</f>
        <v>45688</v>
      </c>
      <c r="L31" s="1">
        <f>_xlfn.XLOOKUP(Sales_All[[#This Row],[Month]], Finance_Data!A:A, Finance_Data!B:B)</f>
        <v>25640</v>
      </c>
      <c r="M31" s="1">
        <f>_xlfn.XLOOKUP(Sales_All[[#This Row],[Month]], Finance_Data!A:A, Finance_Data!C:C, 0)</f>
        <v>60082</v>
      </c>
      <c r="N31" s="1">
        <f>(Sales_All[[#This Row],[Quantity]]*Sales_All[[#This Row],[UnitPrice]]) - (Sales_All[[#This Row],[Quantity]]*Sales_All[[#This Row],[UnitCost]])  - Sales_All[[#This Row],[Overheads]] -Sales_All[[#This Row],[Salaries]]</f>
        <v>-82442</v>
      </c>
      <c r="O31">
        <f>_xlfn.XLOOKUP(Sales_All[[#This Row],[OrderID]], Operations_Data!A:A, Operations_Data!B:B)</f>
        <v>2</v>
      </c>
      <c r="P31">
        <f>_xlfn.XLOOKUP(Sales_All[[#This Row],[OrderID]], Operations_Data!A:A, Operations_Data!C:C)</f>
        <v>7.0000000000000007E-2</v>
      </c>
      <c r="Q31" s="1">
        <f>Sales_All[[#This Row],[Quantity]]*Sales_All[[#This Row],[UnitPrice]]</f>
        <v>5595</v>
      </c>
      <c r="R31" s="1">
        <f>Sales_All[[#This Row],[Revenue]]*(1-Sales_All[[#This Row],[Discount]])</f>
        <v>4308.1500000000005</v>
      </c>
      <c r="S31" s="1">
        <f>Sales_All[[#This Row],[Revenue]] -(Sales_All[[#This Row],[Quantity]]*Sales_All[[#This Row],[UnitCost]])-Sales_All[[#This Row],[Overheads]]</f>
        <v>-22360</v>
      </c>
      <c r="T31" s="1" t="str" cm="1">
        <f t="array" ref="T31">_xlfn.IFS(Sales_All[[#This Row],[Revenue]]&gt;50000,"VIP",Sales_All[[#This Row],[Revenue]]&gt;=20000,"Regular",Sales_All[[#This Row],[Revenue]]&lt;20000,"Low Value")</f>
        <v>Low Value</v>
      </c>
      <c r="U31" s="1" t="str">
        <f>INDEX(Product_List!B:B, MATCH(Sales_All[[#This Row],[Product]], Product_List!A:A, 0))</f>
        <v>Electronics</v>
      </c>
      <c r="V31" s="1" t="str" cm="1">
        <f t="array" ref="V31">_xlfn.TEXTJOIN(", ", TRUE,IF(Sales_All[CustomerID] = Sales_All[[#This Row],[CustomerID]], Sales_All[Product], ""))</f>
        <v>Laptop, Monitor, Monitor, Tablet</v>
      </c>
    </row>
    <row r="32" spans="1:22" x14ac:dyDescent="0.3">
      <c r="A32" s="1" t="s">
        <v>47</v>
      </c>
      <c r="B32" s="3">
        <v>45770.271574074082</v>
      </c>
      <c r="C32" s="5" t="s">
        <v>19</v>
      </c>
      <c r="D32">
        <v>1016</v>
      </c>
      <c r="E32" s="5" t="s">
        <v>9</v>
      </c>
      <c r="F32" s="1" t="str">
        <f>_xlfn.XLOOKUP(Sales_All[[#This Row],[Product]], Product_List!A:A, Product_List!B:B,)</f>
        <v>Electronics</v>
      </c>
      <c r="G32" s="1">
        <f>_xlfn.XLOOKUP(Sales_All[[#This Row],[Product]], Product_List!A:A, Product_List!D:D)</f>
        <v>492</v>
      </c>
      <c r="H32" s="7">
        <f>_xlfn.XLOOKUP(Sales_All[[#This Row],[Product]], Product_List!A:A, Product_List!E:E)</f>
        <v>0.14000000000000001</v>
      </c>
      <c r="I32" s="4">
        <v>7</v>
      </c>
      <c r="J32" s="4">
        <v>1039</v>
      </c>
      <c r="K32" s="3">
        <f>EOMONTH(Sales_All[[#This Row],[Date]],0)</f>
        <v>45777</v>
      </c>
      <c r="L32" s="1">
        <f>_xlfn.XLOOKUP(Sales_All[[#This Row],[Month]], Finance_Data!A:A, Finance_Data!B:B)</f>
        <v>44423</v>
      </c>
      <c r="M32" s="1">
        <f>_xlfn.XLOOKUP(Sales_All[[#This Row],[Month]], Finance_Data!A:A, Finance_Data!C:C, 0)</f>
        <v>90674</v>
      </c>
      <c r="N32" s="1">
        <f>(Sales_All[[#This Row],[Quantity]]*Sales_All[[#This Row],[UnitPrice]]) - (Sales_All[[#This Row],[Quantity]]*Sales_All[[#This Row],[UnitCost]])  - Sales_All[[#This Row],[Overheads]] -Sales_All[[#This Row],[Salaries]]</f>
        <v>-131268</v>
      </c>
      <c r="O32">
        <f>_xlfn.XLOOKUP(Sales_All[[#This Row],[OrderID]], Operations_Data!A:A, Operations_Data!B:B)</f>
        <v>6</v>
      </c>
      <c r="P32">
        <f>_xlfn.XLOOKUP(Sales_All[[#This Row],[OrderID]], Operations_Data!A:A, Operations_Data!C:C)</f>
        <v>0.05</v>
      </c>
      <c r="Q32" s="1">
        <f>Sales_All[[#This Row],[Quantity]]*Sales_All[[#This Row],[UnitPrice]]</f>
        <v>7273</v>
      </c>
      <c r="R32" s="1">
        <f>Sales_All[[#This Row],[Revenue]]*(1-Sales_All[[#This Row],[Discount]])</f>
        <v>6254.78</v>
      </c>
      <c r="S32" s="1">
        <f>Sales_All[[#This Row],[Revenue]] -(Sales_All[[#This Row],[Quantity]]*Sales_All[[#This Row],[UnitCost]])-Sales_All[[#This Row],[Overheads]]</f>
        <v>-40594</v>
      </c>
      <c r="T32" s="1" t="str" cm="1">
        <f t="array" ref="T32">_xlfn.IFS(Sales_All[[#This Row],[Revenue]]&gt;50000,"VIP",Sales_All[[#This Row],[Revenue]]&gt;=20000,"Regular",Sales_All[[#This Row],[Revenue]]&lt;20000,"Low Value")</f>
        <v>Low Value</v>
      </c>
      <c r="U32" s="1" t="str">
        <f>INDEX(Product_List!B:B, MATCH(Sales_All[[#This Row],[Product]], Product_List!A:A, 0))</f>
        <v>Electronics</v>
      </c>
      <c r="V32" s="1" t="str" cm="1">
        <f t="array" ref="V32">_xlfn.TEXTJOIN(", ", TRUE,IF(Sales_All[CustomerID] = Sales_All[[#This Row],[CustomerID]], Sales_All[Product], ""))</f>
        <v>Laptop, Monitor, Monitor, Tablet</v>
      </c>
    </row>
    <row r="33" spans="1:22" x14ac:dyDescent="0.3">
      <c r="A33" s="1" t="s">
        <v>48</v>
      </c>
      <c r="B33" s="3">
        <v>45821.985358796293</v>
      </c>
      <c r="C33" s="5" t="s">
        <v>13</v>
      </c>
      <c r="D33">
        <v>1010</v>
      </c>
      <c r="E33" s="5" t="s">
        <v>17</v>
      </c>
      <c r="F33" s="1" t="str">
        <f>_xlfn.XLOOKUP(Sales_All[[#This Row],[Product]], Product_List!A:A, Product_List!B:B,)</f>
        <v>Electronics</v>
      </c>
      <c r="G33" s="1">
        <f>_xlfn.XLOOKUP(Sales_All[[#This Row],[Product]], Product_List!A:A, Product_List!D:D)</f>
        <v>97</v>
      </c>
      <c r="H33" s="7">
        <f>_xlfn.XLOOKUP(Sales_All[[#This Row],[Product]], Product_List!A:A, Product_List!E:E)</f>
        <v>0.08</v>
      </c>
      <c r="I33" s="4">
        <v>2</v>
      </c>
      <c r="J33" s="4">
        <v>809</v>
      </c>
      <c r="K33" s="3">
        <f>EOMONTH(Sales_All[[#This Row],[Date]],0)</f>
        <v>45838</v>
      </c>
      <c r="L33" s="1">
        <f>_xlfn.XLOOKUP(Sales_All[[#This Row],[Month]], Finance_Data!A:A, Finance_Data!B:B)</f>
        <v>20079</v>
      </c>
      <c r="M33" s="1">
        <f>_xlfn.XLOOKUP(Sales_All[[#This Row],[Month]], Finance_Data!A:A, Finance_Data!C:C, 0)</f>
        <v>99954</v>
      </c>
      <c r="N33" s="1">
        <f>(Sales_All[[#This Row],[Quantity]]*Sales_All[[#This Row],[UnitPrice]]) - (Sales_All[[#This Row],[Quantity]]*Sales_All[[#This Row],[UnitCost]])  - Sales_All[[#This Row],[Overheads]] -Sales_All[[#This Row],[Salaries]]</f>
        <v>-118609</v>
      </c>
      <c r="O33">
        <f>_xlfn.XLOOKUP(Sales_All[[#This Row],[OrderID]], Operations_Data!A:A, Operations_Data!B:B)</f>
        <v>5</v>
      </c>
      <c r="P33">
        <f>_xlfn.XLOOKUP(Sales_All[[#This Row],[OrderID]], Operations_Data!A:A, Operations_Data!C:C)</f>
        <v>0</v>
      </c>
      <c r="Q33" s="1">
        <f>Sales_All[[#This Row],[Quantity]]*Sales_All[[#This Row],[UnitPrice]]</f>
        <v>1618</v>
      </c>
      <c r="R33" s="1">
        <f>Sales_All[[#This Row],[Revenue]]*(1-Sales_All[[#This Row],[Discount]])</f>
        <v>1488.5600000000002</v>
      </c>
      <c r="S33" s="1">
        <f>Sales_All[[#This Row],[Revenue]] -(Sales_All[[#This Row],[Quantity]]*Sales_All[[#This Row],[UnitCost]])-Sales_All[[#This Row],[Overheads]]</f>
        <v>-18655</v>
      </c>
      <c r="T33" s="1" t="str" cm="1">
        <f t="array" ref="T33">_xlfn.IFS(Sales_All[[#This Row],[Revenue]]&gt;50000,"VIP",Sales_All[[#This Row],[Revenue]]&gt;=20000,"Regular",Sales_All[[#This Row],[Revenue]]&lt;20000,"Low Value")</f>
        <v>Low Value</v>
      </c>
      <c r="U33" s="1" t="str">
        <f>INDEX(Product_List!B:B, MATCH(Sales_All[[#This Row],[Product]], Product_List!A:A, 0))</f>
        <v>Electronics</v>
      </c>
      <c r="V33" s="1" t="str" cm="1">
        <f t="array" ref="V33">_xlfn.TEXTJOIN(", ", TRUE,IF(Sales_All[CustomerID] = Sales_All[[#This Row],[CustomerID]], Sales_All[Product], ""))</f>
        <v>Headphones, Headphones, Smartphone, Monitor, Printer, Printer, Smartphone</v>
      </c>
    </row>
    <row r="34" spans="1:22" x14ac:dyDescent="0.3">
      <c r="A34" s="1" t="s">
        <v>49</v>
      </c>
      <c r="B34" s="3">
        <v>45774.624965277777</v>
      </c>
      <c r="C34" s="5" t="s">
        <v>13</v>
      </c>
      <c r="D34">
        <v>1014</v>
      </c>
      <c r="E34" s="5" t="s">
        <v>14</v>
      </c>
      <c r="F34" s="1" t="str">
        <f>_xlfn.XLOOKUP(Sales_All[[#This Row],[Product]], Product_List!A:A, Product_List!B:B,)</f>
        <v>Electronics</v>
      </c>
      <c r="G34" s="1">
        <f>_xlfn.XLOOKUP(Sales_All[[#This Row],[Product]], Product_List!A:A, Product_List!D:D)</f>
        <v>463</v>
      </c>
      <c r="H34" s="7">
        <f>_xlfn.XLOOKUP(Sales_All[[#This Row],[Product]], Product_List!A:A, Product_List!E:E)</f>
        <v>0.23</v>
      </c>
      <c r="I34" s="4">
        <v>5</v>
      </c>
      <c r="J34" s="4">
        <v>1951</v>
      </c>
      <c r="K34" s="3">
        <f>EOMONTH(Sales_All[[#This Row],[Date]],0)</f>
        <v>45777</v>
      </c>
      <c r="L34" s="1">
        <f>_xlfn.XLOOKUP(Sales_All[[#This Row],[Month]], Finance_Data!A:A, Finance_Data!B:B)</f>
        <v>44423</v>
      </c>
      <c r="M34" s="1">
        <f>_xlfn.XLOOKUP(Sales_All[[#This Row],[Month]], Finance_Data!A:A, Finance_Data!C:C, 0)</f>
        <v>90674</v>
      </c>
      <c r="N34" s="1">
        <f>(Sales_All[[#This Row],[Quantity]]*Sales_All[[#This Row],[UnitPrice]]) - (Sales_All[[#This Row],[Quantity]]*Sales_All[[#This Row],[UnitCost]])  - Sales_All[[#This Row],[Overheads]] -Sales_All[[#This Row],[Salaries]]</f>
        <v>-127657</v>
      </c>
      <c r="O34">
        <f>_xlfn.XLOOKUP(Sales_All[[#This Row],[OrderID]], Operations_Data!A:A, Operations_Data!B:B)</f>
        <v>3</v>
      </c>
      <c r="P34">
        <f>_xlfn.XLOOKUP(Sales_All[[#This Row],[OrderID]], Operations_Data!A:A, Operations_Data!C:C)</f>
        <v>0.04</v>
      </c>
      <c r="Q34" s="1">
        <f>Sales_All[[#This Row],[Quantity]]*Sales_All[[#This Row],[UnitPrice]]</f>
        <v>9755</v>
      </c>
      <c r="R34" s="1">
        <f>Sales_All[[#This Row],[Revenue]]*(1-Sales_All[[#This Row],[Discount]])</f>
        <v>7511.35</v>
      </c>
      <c r="S34" s="1">
        <f>Sales_All[[#This Row],[Revenue]] -(Sales_All[[#This Row],[Quantity]]*Sales_All[[#This Row],[UnitCost]])-Sales_All[[#This Row],[Overheads]]</f>
        <v>-36983</v>
      </c>
      <c r="T34" s="1" t="str" cm="1">
        <f t="array" ref="T34">_xlfn.IFS(Sales_All[[#This Row],[Revenue]]&gt;50000,"VIP",Sales_All[[#This Row],[Revenue]]&gt;=20000,"Regular",Sales_All[[#This Row],[Revenue]]&lt;20000,"Low Value")</f>
        <v>Low Value</v>
      </c>
      <c r="U34" s="1" t="str">
        <f>INDEX(Product_List!B:B, MATCH(Sales_All[[#This Row],[Product]], Product_List!A:A, 0))</f>
        <v>Electronics</v>
      </c>
      <c r="V34" s="1" t="str" cm="1">
        <f t="array" ref="V34">_xlfn.TEXTJOIN(", ", TRUE,IF(Sales_All[CustomerID] = Sales_All[[#This Row],[CustomerID]], Sales_All[Product], ""))</f>
        <v>Tablet, Monitor, Headphones</v>
      </c>
    </row>
    <row r="35" spans="1:22" x14ac:dyDescent="0.3">
      <c r="A35" s="1" t="s">
        <v>50</v>
      </c>
      <c r="B35" s="3">
        <v>45789.475810185177</v>
      </c>
      <c r="C35" s="5" t="s">
        <v>8</v>
      </c>
      <c r="D35">
        <v>1009</v>
      </c>
      <c r="E35" s="5" t="s">
        <v>17</v>
      </c>
      <c r="F35" s="1" t="str">
        <f>_xlfn.XLOOKUP(Sales_All[[#This Row],[Product]], Product_List!A:A, Product_List!B:B,)</f>
        <v>Electronics</v>
      </c>
      <c r="G35" s="1">
        <f>_xlfn.XLOOKUP(Sales_All[[#This Row],[Product]], Product_List!A:A, Product_List!D:D)</f>
        <v>97</v>
      </c>
      <c r="H35" s="7">
        <f>_xlfn.XLOOKUP(Sales_All[[#This Row],[Product]], Product_List!A:A, Product_List!E:E)</f>
        <v>0.08</v>
      </c>
      <c r="I35" s="4">
        <v>1</v>
      </c>
      <c r="J35" s="4">
        <v>1187</v>
      </c>
      <c r="K35" s="3">
        <f>EOMONTH(Sales_All[[#This Row],[Date]],0)</f>
        <v>45808</v>
      </c>
      <c r="L35" s="1">
        <f>_xlfn.XLOOKUP(Sales_All[[#This Row],[Month]], Finance_Data!A:A, Finance_Data!B:B)</f>
        <v>32119</v>
      </c>
      <c r="M35" s="1">
        <f>_xlfn.XLOOKUP(Sales_All[[#This Row],[Month]], Finance_Data!A:A, Finance_Data!C:C, 0)</f>
        <v>55646</v>
      </c>
      <c r="N35" s="1">
        <f>(Sales_All[[#This Row],[Quantity]]*Sales_All[[#This Row],[UnitPrice]]) - (Sales_All[[#This Row],[Quantity]]*Sales_All[[#This Row],[UnitCost]])  - Sales_All[[#This Row],[Overheads]] -Sales_All[[#This Row],[Salaries]]</f>
        <v>-86675</v>
      </c>
      <c r="O35">
        <f>_xlfn.XLOOKUP(Sales_All[[#This Row],[OrderID]], Operations_Data!A:A, Operations_Data!B:B)</f>
        <v>9</v>
      </c>
      <c r="P35">
        <f>_xlfn.XLOOKUP(Sales_All[[#This Row],[OrderID]], Operations_Data!A:A, Operations_Data!C:C)</f>
        <v>0.05</v>
      </c>
      <c r="Q35" s="1">
        <f>Sales_All[[#This Row],[Quantity]]*Sales_All[[#This Row],[UnitPrice]]</f>
        <v>1187</v>
      </c>
      <c r="R35" s="1">
        <f>Sales_All[[#This Row],[Revenue]]*(1-Sales_All[[#This Row],[Discount]])</f>
        <v>1092.04</v>
      </c>
      <c r="S35" s="1">
        <f>Sales_All[[#This Row],[Revenue]] -(Sales_All[[#This Row],[Quantity]]*Sales_All[[#This Row],[UnitCost]])-Sales_All[[#This Row],[Overheads]]</f>
        <v>-31029</v>
      </c>
      <c r="T35" s="1" t="str" cm="1">
        <f t="array" ref="T35">_xlfn.IFS(Sales_All[[#This Row],[Revenue]]&gt;50000,"VIP",Sales_All[[#This Row],[Revenue]]&gt;=20000,"Regular",Sales_All[[#This Row],[Revenue]]&lt;20000,"Low Value")</f>
        <v>Low Value</v>
      </c>
      <c r="U35" s="1" t="str">
        <f>INDEX(Product_List!B:B, MATCH(Sales_All[[#This Row],[Product]], Product_List!A:A, 0))</f>
        <v>Electronics</v>
      </c>
      <c r="V35" s="1" t="str" cm="1">
        <f t="array" ref="V35">_xlfn.TEXTJOIN(", ", TRUE,IF(Sales_All[CustomerID] = Sales_All[[#This Row],[CustomerID]], Sales_All[Product], ""))</f>
        <v>Monitor, Headphones, Smartphone, Laptop, Printer, Smartphone</v>
      </c>
    </row>
    <row r="36" spans="1:22" x14ac:dyDescent="0.3">
      <c r="A36" s="1" t="s">
        <v>51</v>
      </c>
      <c r="B36" s="3">
        <v>45771.114571759259</v>
      </c>
      <c r="C36" s="5" t="s">
        <v>19</v>
      </c>
      <c r="D36">
        <v>1018</v>
      </c>
      <c r="E36" s="5" t="s">
        <v>11</v>
      </c>
      <c r="F36" s="1" t="str">
        <f>_xlfn.XLOOKUP(Sales_All[[#This Row],[Product]], Product_List!A:A, Product_List!B:B,)</f>
        <v>Accessories</v>
      </c>
      <c r="G36" s="1">
        <f>_xlfn.XLOOKUP(Sales_All[[#This Row],[Product]], Product_List!A:A, Product_List!D:D)</f>
        <v>323</v>
      </c>
      <c r="H36" s="7">
        <f>_xlfn.XLOOKUP(Sales_All[[#This Row],[Product]], Product_List!A:A, Product_List!E:E)</f>
        <v>0.1</v>
      </c>
      <c r="I36" s="4">
        <v>9</v>
      </c>
      <c r="J36" s="4">
        <v>1259</v>
      </c>
      <c r="K36" s="3">
        <f>EOMONTH(Sales_All[[#This Row],[Date]],0)</f>
        <v>45777</v>
      </c>
      <c r="L36" s="1">
        <f>_xlfn.XLOOKUP(Sales_All[[#This Row],[Month]], Finance_Data!A:A, Finance_Data!B:B)</f>
        <v>44423</v>
      </c>
      <c r="M36" s="1">
        <f>_xlfn.XLOOKUP(Sales_All[[#This Row],[Month]], Finance_Data!A:A, Finance_Data!C:C, 0)</f>
        <v>90674</v>
      </c>
      <c r="N36" s="1">
        <f>(Sales_All[[#This Row],[Quantity]]*Sales_All[[#This Row],[UnitPrice]]) - (Sales_All[[#This Row],[Quantity]]*Sales_All[[#This Row],[UnitCost]])  - Sales_All[[#This Row],[Overheads]] -Sales_All[[#This Row],[Salaries]]</f>
        <v>-126673</v>
      </c>
      <c r="O36">
        <f>_xlfn.XLOOKUP(Sales_All[[#This Row],[OrderID]], Operations_Data!A:A, Operations_Data!B:B)</f>
        <v>4</v>
      </c>
      <c r="P36">
        <f>_xlfn.XLOOKUP(Sales_All[[#This Row],[OrderID]], Operations_Data!A:A, Operations_Data!C:C)</f>
        <v>0.04</v>
      </c>
      <c r="Q36" s="1">
        <f>Sales_All[[#This Row],[Quantity]]*Sales_All[[#This Row],[UnitPrice]]</f>
        <v>11331</v>
      </c>
      <c r="R36" s="1">
        <f>Sales_All[[#This Row],[Revenue]]*(1-Sales_All[[#This Row],[Discount]])</f>
        <v>10197.9</v>
      </c>
      <c r="S36" s="1">
        <f>Sales_All[[#This Row],[Revenue]] -(Sales_All[[#This Row],[Quantity]]*Sales_All[[#This Row],[UnitCost]])-Sales_All[[#This Row],[Overheads]]</f>
        <v>-35999</v>
      </c>
      <c r="T36" s="1" t="str" cm="1">
        <f t="array" ref="T36">_xlfn.IFS(Sales_All[[#This Row],[Revenue]]&gt;50000,"VIP",Sales_All[[#This Row],[Revenue]]&gt;=20000,"Regular",Sales_All[[#This Row],[Revenue]]&lt;20000,"Low Value")</f>
        <v>Low Value</v>
      </c>
      <c r="U36" s="1" t="str">
        <f>INDEX(Product_List!B:B, MATCH(Sales_All[[#This Row],[Product]], Product_List!A:A, 0))</f>
        <v>Accessories</v>
      </c>
      <c r="V36" s="1" t="str" cm="1">
        <f t="array" ref="V36">_xlfn.TEXTJOIN(", ", TRUE,IF(Sales_All[CustomerID] = Sales_All[[#This Row],[CustomerID]], Sales_All[Product], ""))</f>
        <v>Tablet, Smartphone, Headphones, Headphones, Monitor, Laptop</v>
      </c>
    </row>
    <row r="37" spans="1:22" x14ac:dyDescent="0.3">
      <c r="A37" s="1" t="s">
        <v>52</v>
      </c>
      <c r="B37" s="3">
        <v>45833.931319444448</v>
      </c>
      <c r="C37" s="5" t="s">
        <v>19</v>
      </c>
      <c r="D37">
        <v>1010</v>
      </c>
      <c r="E37" s="5" t="s">
        <v>14</v>
      </c>
      <c r="F37" s="1" t="str">
        <f>_xlfn.XLOOKUP(Sales_All[[#This Row],[Product]], Product_List!A:A, Product_List!B:B,)</f>
        <v>Electronics</v>
      </c>
      <c r="G37" s="1">
        <f>_xlfn.XLOOKUP(Sales_All[[#This Row],[Product]], Product_List!A:A, Product_List!D:D)</f>
        <v>463</v>
      </c>
      <c r="H37" s="7">
        <f>_xlfn.XLOOKUP(Sales_All[[#This Row],[Product]], Product_List!A:A, Product_List!E:E)</f>
        <v>0.23</v>
      </c>
      <c r="I37" s="4">
        <v>6</v>
      </c>
      <c r="J37" s="4">
        <v>1460</v>
      </c>
      <c r="K37" s="3">
        <f>EOMONTH(Sales_All[[#This Row],[Date]],0)</f>
        <v>45838</v>
      </c>
      <c r="L37" s="1">
        <f>_xlfn.XLOOKUP(Sales_All[[#This Row],[Month]], Finance_Data!A:A, Finance_Data!B:B)</f>
        <v>20079</v>
      </c>
      <c r="M37" s="1">
        <f>_xlfn.XLOOKUP(Sales_All[[#This Row],[Month]], Finance_Data!A:A, Finance_Data!C:C, 0)</f>
        <v>99954</v>
      </c>
      <c r="N37" s="1">
        <f>(Sales_All[[#This Row],[Quantity]]*Sales_All[[#This Row],[UnitPrice]]) - (Sales_All[[#This Row],[Quantity]]*Sales_All[[#This Row],[UnitCost]])  - Sales_All[[#This Row],[Overheads]] -Sales_All[[#This Row],[Salaries]]</f>
        <v>-114051</v>
      </c>
      <c r="O37">
        <f>_xlfn.XLOOKUP(Sales_All[[#This Row],[OrderID]], Operations_Data!A:A, Operations_Data!B:B)</f>
        <v>6</v>
      </c>
      <c r="P37">
        <f>_xlfn.XLOOKUP(Sales_All[[#This Row],[OrderID]], Operations_Data!A:A, Operations_Data!C:C)</f>
        <v>0.04</v>
      </c>
      <c r="Q37" s="1">
        <f>Sales_All[[#This Row],[Quantity]]*Sales_All[[#This Row],[UnitPrice]]</f>
        <v>8760</v>
      </c>
      <c r="R37" s="1">
        <f>Sales_All[[#This Row],[Revenue]]*(1-Sales_All[[#This Row],[Discount]])</f>
        <v>6745.2</v>
      </c>
      <c r="S37" s="1">
        <f>Sales_All[[#This Row],[Revenue]] -(Sales_All[[#This Row],[Quantity]]*Sales_All[[#This Row],[UnitCost]])-Sales_All[[#This Row],[Overheads]]</f>
        <v>-14097</v>
      </c>
      <c r="T37" s="1" t="str" cm="1">
        <f t="array" ref="T37">_xlfn.IFS(Sales_All[[#This Row],[Revenue]]&gt;50000,"VIP",Sales_All[[#This Row],[Revenue]]&gt;=20000,"Regular",Sales_All[[#This Row],[Revenue]]&lt;20000,"Low Value")</f>
        <v>Low Value</v>
      </c>
      <c r="U37" s="1" t="str">
        <f>INDEX(Product_List!B:B, MATCH(Sales_All[[#This Row],[Product]], Product_List!A:A, 0))</f>
        <v>Electronics</v>
      </c>
      <c r="V37" s="1" t="str" cm="1">
        <f t="array" ref="V37">_xlfn.TEXTJOIN(", ", TRUE,IF(Sales_All[CustomerID] = Sales_All[[#This Row],[CustomerID]], Sales_All[Product], ""))</f>
        <v>Headphones, Headphones, Smartphone, Monitor, Printer, Printer, Smartphone</v>
      </c>
    </row>
    <row r="38" spans="1:22" x14ac:dyDescent="0.3">
      <c r="A38" s="1" t="s">
        <v>53</v>
      </c>
      <c r="B38" s="3">
        <v>45766.59642361111</v>
      </c>
      <c r="C38" s="5" t="s">
        <v>16</v>
      </c>
      <c r="D38">
        <v>1010</v>
      </c>
      <c r="E38" s="5" t="s">
        <v>25</v>
      </c>
      <c r="F38" s="1" t="str">
        <f>_xlfn.XLOOKUP(Sales_All[[#This Row],[Product]], Product_List!A:A, Product_List!B:B,)</f>
        <v>Office</v>
      </c>
      <c r="G38" s="1">
        <f>_xlfn.XLOOKUP(Sales_All[[#This Row],[Product]], Product_List!A:A, Product_List!D:D)</f>
        <v>136</v>
      </c>
      <c r="H38" s="7">
        <f>_xlfn.XLOOKUP(Sales_All[[#This Row],[Product]], Product_List!A:A, Product_List!E:E)</f>
        <v>0.1</v>
      </c>
      <c r="I38" s="4">
        <v>5</v>
      </c>
      <c r="J38" s="4">
        <v>1485</v>
      </c>
      <c r="K38" s="3">
        <f>EOMONTH(Sales_All[[#This Row],[Date]],0)</f>
        <v>45777</v>
      </c>
      <c r="L38" s="1">
        <f>_xlfn.XLOOKUP(Sales_All[[#This Row],[Month]], Finance_Data!A:A, Finance_Data!B:B)</f>
        <v>44423</v>
      </c>
      <c r="M38" s="1">
        <f>_xlfn.XLOOKUP(Sales_All[[#This Row],[Month]], Finance_Data!A:A, Finance_Data!C:C, 0)</f>
        <v>90674</v>
      </c>
      <c r="N38" s="1">
        <f>(Sales_All[[#This Row],[Quantity]]*Sales_All[[#This Row],[UnitPrice]]) - (Sales_All[[#This Row],[Quantity]]*Sales_All[[#This Row],[UnitCost]])  - Sales_All[[#This Row],[Overheads]] -Sales_All[[#This Row],[Salaries]]</f>
        <v>-128352</v>
      </c>
      <c r="O38">
        <f>_xlfn.XLOOKUP(Sales_All[[#This Row],[OrderID]], Operations_Data!A:A, Operations_Data!B:B)</f>
        <v>1</v>
      </c>
      <c r="P38">
        <f>_xlfn.XLOOKUP(Sales_All[[#This Row],[OrderID]], Operations_Data!A:A, Operations_Data!C:C)</f>
        <v>0.05</v>
      </c>
      <c r="Q38" s="1">
        <f>Sales_All[[#This Row],[Quantity]]*Sales_All[[#This Row],[UnitPrice]]</f>
        <v>7425</v>
      </c>
      <c r="R38" s="1">
        <f>Sales_All[[#This Row],[Revenue]]*(1-Sales_All[[#This Row],[Discount]])</f>
        <v>6682.5</v>
      </c>
      <c r="S38" s="1">
        <f>Sales_All[[#This Row],[Revenue]] -(Sales_All[[#This Row],[Quantity]]*Sales_All[[#This Row],[UnitCost]])-Sales_All[[#This Row],[Overheads]]</f>
        <v>-37678</v>
      </c>
      <c r="T38" s="1" t="str" cm="1">
        <f t="array" ref="T38">_xlfn.IFS(Sales_All[[#This Row],[Revenue]]&gt;50000,"VIP",Sales_All[[#This Row],[Revenue]]&gt;=20000,"Regular",Sales_All[[#This Row],[Revenue]]&lt;20000,"Low Value")</f>
        <v>Low Value</v>
      </c>
      <c r="U38" s="1" t="str">
        <f>INDEX(Product_List!B:B, MATCH(Sales_All[[#This Row],[Product]], Product_List!A:A, 0))</f>
        <v>Office</v>
      </c>
      <c r="V38" s="1" t="str" cm="1">
        <f t="array" ref="V38">_xlfn.TEXTJOIN(", ", TRUE,IF(Sales_All[CustomerID] = Sales_All[[#This Row],[CustomerID]], Sales_All[Product], ""))</f>
        <v>Headphones, Headphones, Smartphone, Monitor, Printer, Printer, Smartphone</v>
      </c>
    </row>
    <row r="39" spans="1:22" x14ac:dyDescent="0.3">
      <c r="A39" s="1" t="s">
        <v>54</v>
      </c>
      <c r="B39" s="3">
        <v>45770.167129629634</v>
      </c>
      <c r="C39" s="5" t="s">
        <v>16</v>
      </c>
      <c r="D39">
        <v>1015</v>
      </c>
      <c r="E39" s="5" t="s">
        <v>17</v>
      </c>
      <c r="F39" s="1" t="str">
        <f>_xlfn.XLOOKUP(Sales_All[[#This Row],[Product]], Product_List!A:A, Product_List!B:B,)</f>
        <v>Electronics</v>
      </c>
      <c r="G39" s="1">
        <f>_xlfn.XLOOKUP(Sales_All[[#This Row],[Product]], Product_List!A:A, Product_List!D:D)</f>
        <v>97</v>
      </c>
      <c r="H39" s="7">
        <f>_xlfn.XLOOKUP(Sales_All[[#This Row],[Product]], Product_List!A:A, Product_List!E:E)</f>
        <v>0.08</v>
      </c>
      <c r="I39" s="4">
        <v>3</v>
      </c>
      <c r="J39" s="4">
        <v>1472</v>
      </c>
      <c r="K39" s="3">
        <f>EOMONTH(Sales_All[[#This Row],[Date]],0)</f>
        <v>45777</v>
      </c>
      <c r="L39" s="1">
        <f>_xlfn.XLOOKUP(Sales_All[[#This Row],[Month]], Finance_Data!A:A, Finance_Data!B:B)</f>
        <v>44423</v>
      </c>
      <c r="M39" s="1">
        <f>_xlfn.XLOOKUP(Sales_All[[#This Row],[Month]], Finance_Data!A:A, Finance_Data!C:C, 0)</f>
        <v>90674</v>
      </c>
      <c r="N39" s="1">
        <f>(Sales_All[[#This Row],[Quantity]]*Sales_All[[#This Row],[UnitPrice]]) - (Sales_All[[#This Row],[Quantity]]*Sales_All[[#This Row],[UnitCost]])  - Sales_All[[#This Row],[Overheads]] -Sales_All[[#This Row],[Salaries]]</f>
        <v>-130972</v>
      </c>
      <c r="O39">
        <f>_xlfn.XLOOKUP(Sales_All[[#This Row],[OrderID]], Operations_Data!A:A, Operations_Data!B:B)</f>
        <v>4</v>
      </c>
      <c r="P39">
        <f>_xlfn.XLOOKUP(Sales_All[[#This Row],[OrderID]], Operations_Data!A:A, Operations_Data!C:C)</f>
        <v>0.04</v>
      </c>
      <c r="Q39" s="1">
        <f>Sales_All[[#This Row],[Quantity]]*Sales_All[[#This Row],[UnitPrice]]</f>
        <v>4416</v>
      </c>
      <c r="R39" s="1">
        <f>Sales_All[[#This Row],[Revenue]]*(1-Sales_All[[#This Row],[Discount]])</f>
        <v>4062.7200000000003</v>
      </c>
      <c r="S39" s="1">
        <f>Sales_All[[#This Row],[Revenue]] -(Sales_All[[#This Row],[Quantity]]*Sales_All[[#This Row],[UnitCost]])-Sales_All[[#This Row],[Overheads]]</f>
        <v>-40298</v>
      </c>
      <c r="T39" s="1" t="str" cm="1">
        <f t="array" ref="T39">_xlfn.IFS(Sales_All[[#This Row],[Revenue]]&gt;50000,"VIP",Sales_All[[#This Row],[Revenue]]&gt;=20000,"Regular",Sales_All[[#This Row],[Revenue]]&lt;20000,"Low Value")</f>
        <v>Low Value</v>
      </c>
      <c r="U39" s="1" t="str">
        <f>INDEX(Product_List!B:B, MATCH(Sales_All[[#This Row],[Product]], Product_List!A:A, 0))</f>
        <v>Electronics</v>
      </c>
      <c r="V39" s="1" t="str" cm="1">
        <f t="array" ref="V39">_xlfn.TEXTJOIN(", ", TRUE,IF(Sales_All[CustomerID] = Sales_All[[#This Row],[CustomerID]], Sales_All[Product], ""))</f>
        <v>Smartphone, Smartphone</v>
      </c>
    </row>
    <row r="40" spans="1:22" x14ac:dyDescent="0.3">
      <c r="A40" s="1" t="s">
        <v>55</v>
      </c>
      <c r="B40" s="3">
        <v>45759.131932870368</v>
      </c>
      <c r="C40" s="5" t="s">
        <v>13</v>
      </c>
      <c r="D40">
        <v>1020</v>
      </c>
      <c r="E40" s="5" t="s">
        <v>20</v>
      </c>
      <c r="F40" s="1" t="str">
        <f>_xlfn.XLOOKUP(Sales_All[[#This Row],[Product]], Product_List!A:A, Product_List!B:B,)</f>
        <v>Electronics</v>
      </c>
      <c r="G40" s="1">
        <f>_xlfn.XLOOKUP(Sales_All[[#This Row],[Product]], Product_List!A:A, Product_List!D:D)</f>
        <v>469</v>
      </c>
      <c r="H40" s="7">
        <f>_xlfn.XLOOKUP(Sales_All[[#This Row],[Product]], Product_List!A:A, Product_List!E:E)</f>
        <v>0.22</v>
      </c>
      <c r="I40" s="4">
        <v>8</v>
      </c>
      <c r="J40" s="4">
        <v>1331</v>
      </c>
      <c r="K40" s="3">
        <f>EOMONTH(Sales_All[[#This Row],[Date]],0)</f>
        <v>45777</v>
      </c>
      <c r="L40" s="1">
        <f>_xlfn.XLOOKUP(Sales_All[[#This Row],[Month]], Finance_Data!A:A, Finance_Data!B:B)</f>
        <v>44423</v>
      </c>
      <c r="M40" s="1">
        <f>_xlfn.XLOOKUP(Sales_All[[#This Row],[Month]], Finance_Data!A:A, Finance_Data!C:C, 0)</f>
        <v>90674</v>
      </c>
      <c r="N40" s="1">
        <f>(Sales_All[[#This Row],[Quantity]]*Sales_All[[#This Row],[UnitPrice]]) - (Sales_All[[#This Row],[Quantity]]*Sales_All[[#This Row],[UnitCost]])  - Sales_All[[#This Row],[Overheads]] -Sales_All[[#This Row],[Salaries]]</f>
        <v>-128201</v>
      </c>
      <c r="O40">
        <f>_xlfn.XLOOKUP(Sales_All[[#This Row],[OrderID]], Operations_Data!A:A, Operations_Data!B:B)</f>
        <v>7</v>
      </c>
      <c r="P40">
        <f>_xlfn.XLOOKUP(Sales_All[[#This Row],[OrderID]], Operations_Data!A:A, Operations_Data!C:C)</f>
        <v>0.01</v>
      </c>
      <c r="Q40" s="1">
        <f>Sales_All[[#This Row],[Quantity]]*Sales_All[[#This Row],[UnitPrice]]</f>
        <v>10648</v>
      </c>
      <c r="R40" s="1">
        <f>Sales_All[[#This Row],[Revenue]]*(1-Sales_All[[#This Row],[Discount]])</f>
        <v>8305.44</v>
      </c>
      <c r="S40" s="1">
        <f>Sales_All[[#This Row],[Revenue]] -(Sales_All[[#This Row],[Quantity]]*Sales_All[[#This Row],[UnitCost]])-Sales_All[[#This Row],[Overheads]]</f>
        <v>-37527</v>
      </c>
      <c r="T40" s="1" t="str" cm="1">
        <f t="array" ref="T40">_xlfn.IFS(Sales_All[[#This Row],[Revenue]]&gt;50000,"VIP",Sales_All[[#This Row],[Revenue]]&gt;=20000,"Regular",Sales_All[[#This Row],[Revenue]]&lt;20000,"Low Value")</f>
        <v>Low Value</v>
      </c>
      <c r="U40" s="1" t="str">
        <f>INDEX(Product_List!B:B, MATCH(Sales_All[[#This Row],[Product]], Product_List!A:A, 0))</f>
        <v>Electronics</v>
      </c>
      <c r="V40" s="1" t="str" cm="1">
        <f t="array" ref="V40">_xlfn.TEXTJOIN(", ", TRUE,IF(Sales_All[CustomerID] = Sales_All[[#This Row],[CustomerID]], Sales_All[Product], ""))</f>
        <v>Printer, Headphones, Laptop, Printer</v>
      </c>
    </row>
    <row r="41" spans="1:22" x14ac:dyDescent="0.3">
      <c r="A41" s="1" t="s">
        <v>56</v>
      </c>
      <c r="B41" s="3">
        <v>45760.760393518518</v>
      </c>
      <c r="C41" s="5" t="s">
        <v>13</v>
      </c>
      <c r="D41">
        <v>1001</v>
      </c>
      <c r="E41" s="5" t="s">
        <v>17</v>
      </c>
      <c r="F41" s="1" t="str">
        <f>_xlfn.XLOOKUP(Sales_All[[#This Row],[Product]], Product_List!A:A, Product_List!B:B,)</f>
        <v>Electronics</v>
      </c>
      <c r="G41" s="1">
        <f>_xlfn.XLOOKUP(Sales_All[[#This Row],[Product]], Product_List!A:A, Product_List!D:D)</f>
        <v>97</v>
      </c>
      <c r="H41" s="7">
        <f>_xlfn.XLOOKUP(Sales_All[[#This Row],[Product]], Product_List!A:A, Product_List!E:E)</f>
        <v>0.08</v>
      </c>
      <c r="I41" s="4">
        <v>2</v>
      </c>
      <c r="J41" s="4">
        <v>222</v>
      </c>
      <c r="K41" s="3">
        <f>EOMONTH(Sales_All[[#This Row],[Date]],0)</f>
        <v>45777</v>
      </c>
      <c r="L41" s="1">
        <f>_xlfn.XLOOKUP(Sales_All[[#This Row],[Month]], Finance_Data!A:A, Finance_Data!B:B)</f>
        <v>44423</v>
      </c>
      <c r="M41" s="1">
        <f>_xlfn.XLOOKUP(Sales_All[[#This Row],[Month]], Finance_Data!A:A, Finance_Data!C:C, 0)</f>
        <v>90674</v>
      </c>
      <c r="N41" s="1">
        <f>(Sales_All[[#This Row],[Quantity]]*Sales_All[[#This Row],[UnitPrice]]) - (Sales_All[[#This Row],[Quantity]]*Sales_All[[#This Row],[UnitCost]])  - Sales_All[[#This Row],[Overheads]] -Sales_All[[#This Row],[Salaries]]</f>
        <v>-134847</v>
      </c>
      <c r="O41">
        <f>_xlfn.XLOOKUP(Sales_All[[#This Row],[OrderID]], Operations_Data!A:A, Operations_Data!B:B)</f>
        <v>4</v>
      </c>
      <c r="P41">
        <f>_xlfn.XLOOKUP(Sales_All[[#This Row],[OrderID]], Operations_Data!A:A, Operations_Data!C:C)</f>
        <v>0.03</v>
      </c>
      <c r="Q41" s="1">
        <f>Sales_All[[#This Row],[Quantity]]*Sales_All[[#This Row],[UnitPrice]]</f>
        <v>444</v>
      </c>
      <c r="R41" s="1">
        <f>Sales_All[[#This Row],[Revenue]]*(1-Sales_All[[#This Row],[Discount]])</f>
        <v>408.48</v>
      </c>
      <c r="S41" s="1">
        <f>Sales_All[[#This Row],[Revenue]] -(Sales_All[[#This Row],[Quantity]]*Sales_All[[#This Row],[UnitCost]])-Sales_All[[#This Row],[Overheads]]</f>
        <v>-44173</v>
      </c>
      <c r="T41" s="1" t="str" cm="1">
        <f t="array" ref="T41">_xlfn.IFS(Sales_All[[#This Row],[Revenue]]&gt;50000,"VIP",Sales_All[[#This Row],[Revenue]]&gt;=20000,"Regular",Sales_All[[#This Row],[Revenue]]&lt;20000,"Low Value")</f>
        <v>Low Value</v>
      </c>
      <c r="U41" s="1" t="str">
        <f>INDEX(Product_List!B:B, MATCH(Sales_All[[#This Row],[Product]], Product_List!A:A, 0))</f>
        <v>Electronics</v>
      </c>
      <c r="V41" s="1" t="str" cm="1">
        <f t="array" ref="V41">_xlfn.TEXTJOIN(", ", TRUE,IF(Sales_All[CustomerID] = Sales_All[[#This Row],[CustomerID]], Sales_All[Product], ""))</f>
        <v>Printer, Monitor, Smartphone, Headphones, Monitor, Monitor, Laptop, Laptop</v>
      </c>
    </row>
    <row r="42" spans="1:22" x14ac:dyDescent="0.3">
      <c r="A42" s="1" t="s">
        <v>57</v>
      </c>
      <c r="B42" s="3">
        <v>45754.452418981477</v>
      </c>
      <c r="C42" s="5" t="s">
        <v>8</v>
      </c>
      <c r="D42">
        <v>1012</v>
      </c>
      <c r="E42" s="5" t="s">
        <v>11</v>
      </c>
      <c r="F42" s="1" t="str">
        <f>_xlfn.XLOOKUP(Sales_All[[#This Row],[Product]], Product_List!A:A, Product_List!B:B,)</f>
        <v>Accessories</v>
      </c>
      <c r="G42" s="1">
        <f>_xlfn.XLOOKUP(Sales_All[[#This Row],[Product]], Product_List!A:A, Product_List!D:D)</f>
        <v>323</v>
      </c>
      <c r="H42" s="7">
        <f>_xlfn.XLOOKUP(Sales_All[[#This Row],[Product]], Product_List!A:A, Product_List!E:E)</f>
        <v>0.1</v>
      </c>
      <c r="I42" s="4">
        <v>3</v>
      </c>
      <c r="J42" s="4">
        <v>1781</v>
      </c>
      <c r="K42" s="3">
        <f>EOMONTH(Sales_All[[#This Row],[Date]],0)</f>
        <v>45777</v>
      </c>
      <c r="L42" s="1">
        <f>_xlfn.XLOOKUP(Sales_All[[#This Row],[Month]], Finance_Data!A:A, Finance_Data!B:B)</f>
        <v>44423</v>
      </c>
      <c r="M42" s="1">
        <f>_xlfn.XLOOKUP(Sales_All[[#This Row],[Month]], Finance_Data!A:A, Finance_Data!C:C, 0)</f>
        <v>90674</v>
      </c>
      <c r="N42" s="1">
        <f>(Sales_All[[#This Row],[Quantity]]*Sales_All[[#This Row],[UnitPrice]]) - (Sales_All[[#This Row],[Quantity]]*Sales_All[[#This Row],[UnitCost]])  - Sales_All[[#This Row],[Overheads]] -Sales_All[[#This Row],[Salaries]]</f>
        <v>-130723</v>
      </c>
      <c r="O42">
        <f>_xlfn.XLOOKUP(Sales_All[[#This Row],[OrderID]], Operations_Data!A:A, Operations_Data!B:B)</f>
        <v>5</v>
      </c>
      <c r="P42">
        <f>_xlfn.XLOOKUP(Sales_All[[#This Row],[OrderID]], Operations_Data!A:A, Operations_Data!C:C)</f>
        <v>0.09</v>
      </c>
      <c r="Q42" s="1">
        <f>Sales_All[[#This Row],[Quantity]]*Sales_All[[#This Row],[UnitPrice]]</f>
        <v>5343</v>
      </c>
      <c r="R42" s="1">
        <f>Sales_All[[#This Row],[Revenue]]*(1-Sales_All[[#This Row],[Discount]])</f>
        <v>4808.7</v>
      </c>
      <c r="S42" s="1">
        <f>Sales_All[[#This Row],[Revenue]] -(Sales_All[[#This Row],[Quantity]]*Sales_All[[#This Row],[UnitCost]])-Sales_All[[#This Row],[Overheads]]</f>
        <v>-40049</v>
      </c>
      <c r="T42" s="1" t="str" cm="1">
        <f t="array" ref="T42">_xlfn.IFS(Sales_All[[#This Row],[Revenue]]&gt;50000,"VIP",Sales_All[[#This Row],[Revenue]]&gt;=20000,"Regular",Sales_All[[#This Row],[Revenue]]&lt;20000,"Low Value")</f>
        <v>Low Value</v>
      </c>
      <c r="U42" s="1" t="str">
        <f>INDEX(Product_List!B:B, MATCH(Sales_All[[#This Row],[Product]], Product_List!A:A, 0))</f>
        <v>Accessories</v>
      </c>
      <c r="V42" s="1" t="str" cm="1">
        <f t="array" ref="V42">_xlfn.TEXTJOIN(", ", TRUE,IF(Sales_All[CustomerID] = Sales_All[[#This Row],[CustomerID]], Sales_All[Product], ""))</f>
        <v>Laptop, Headphones, Printer, Monitor</v>
      </c>
    </row>
    <row r="43" spans="1:22" x14ac:dyDescent="0.3">
      <c r="A43" s="1" t="s">
        <v>58</v>
      </c>
      <c r="B43" s="3">
        <v>45823.740358796298</v>
      </c>
      <c r="C43" s="5" t="s">
        <v>13</v>
      </c>
      <c r="D43">
        <v>1001</v>
      </c>
      <c r="E43" s="5" t="s">
        <v>11</v>
      </c>
      <c r="F43" s="1" t="str">
        <f>_xlfn.XLOOKUP(Sales_All[[#This Row],[Product]], Product_List!A:A, Product_List!B:B,)</f>
        <v>Accessories</v>
      </c>
      <c r="G43" s="1">
        <f>_xlfn.XLOOKUP(Sales_All[[#This Row],[Product]], Product_List!A:A, Product_List!D:D)</f>
        <v>323</v>
      </c>
      <c r="H43" s="7">
        <f>_xlfn.XLOOKUP(Sales_All[[#This Row],[Product]], Product_List!A:A, Product_List!E:E)</f>
        <v>0.1</v>
      </c>
      <c r="I43" s="4">
        <v>2</v>
      </c>
      <c r="J43" s="4">
        <v>1545</v>
      </c>
      <c r="K43" s="3">
        <f>EOMONTH(Sales_All[[#This Row],[Date]],0)</f>
        <v>45838</v>
      </c>
      <c r="L43" s="1">
        <f>_xlfn.XLOOKUP(Sales_All[[#This Row],[Month]], Finance_Data!A:A, Finance_Data!B:B)</f>
        <v>20079</v>
      </c>
      <c r="M43" s="1">
        <f>_xlfn.XLOOKUP(Sales_All[[#This Row],[Month]], Finance_Data!A:A, Finance_Data!C:C, 0)</f>
        <v>99954</v>
      </c>
      <c r="N43" s="1">
        <f>(Sales_All[[#This Row],[Quantity]]*Sales_All[[#This Row],[UnitPrice]]) - (Sales_All[[#This Row],[Quantity]]*Sales_All[[#This Row],[UnitCost]])  - Sales_All[[#This Row],[Overheads]] -Sales_All[[#This Row],[Salaries]]</f>
        <v>-117589</v>
      </c>
      <c r="O43">
        <f>_xlfn.XLOOKUP(Sales_All[[#This Row],[OrderID]], Operations_Data!A:A, Operations_Data!B:B)</f>
        <v>8</v>
      </c>
      <c r="P43">
        <f>_xlfn.XLOOKUP(Sales_All[[#This Row],[OrderID]], Operations_Data!A:A, Operations_Data!C:C)</f>
        <v>0</v>
      </c>
      <c r="Q43" s="1">
        <f>Sales_All[[#This Row],[Quantity]]*Sales_All[[#This Row],[UnitPrice]]</f>
        <v>3090</v>
      </c>
      <c r="R43" s="1">
        <f>Sales_All[[#This Row],[Revenue]]*(1-Sales_All[[#This Row],[Discount]])</f>
        <v>2781</v>
      </c>
      <c r="S43" s="1">
        <f>Sales_All[[#This Row],[Revenue]] -(Sales_All[[#This Row],[Quantity]]*Sales_All[[#This Row],[UnitCost]])-Sales_All[[#This Row],[Overheads]]</f>
        <v>-17635</v>
      </c>
      <c r="T43" s="1" t="str" cm="1">
        <f t="array" ref="T43">_xlfn.IFS(Sales_All[[#This Row],[Revenue]]&gt;50000,"VIP",Sales_All[[#This Row],[Revenue]]&gt;=20000,"Regular",Sales_All[[#This Row],[Revenue]]&lt;20000,"Low Value")</f>
        <v>Low Value</v>
      </c>
      <c r="U43" s="1" t="str">
        <f>INDEX(Product_List!B:B, MATCH(Sales_All[[#This Row],[Product]], Product_List!A:A, 0))</f>
        <v>Accessories</v>
      </c>
      <c r="V43" s="1" t="str" cm="1">
        <f t="array" ref="V43">_xlfn.TEXTJOIN(", ", TRUE,IF(Sales_All[CustomerID] = Sales_All[[#This Row],[CustomerID]], Sales_All[Product], ""))</f>
        <v>Printer, Monitor, Smartphone, Headphones, Monitor, Monitor, Laptop, Laptop</v>
      </c>
    </row>
    <row r="44" spans="1:22" x14ac:dyDescent="0.3">
      <c r="A44" s="1" t="s">
        <v>59</v>
      </c>
      <c r="B44" s="3">
        <v>45827.390497685177</v>
      </c>
      <c r="C44" s="5" t="s">
        <v>16</v>
      </c>
      <c r="D44">
        <v>1019</v>
      </c>
      <c r="E44" s="5" t="s">
        <v>20</v>
      </c>
      <c r="F44" s="1" t="str">
        <f>_xlfn.XLOOKUP(Sales_All[[#This Row],[Product]], Product_List!A:A, Product_List!B:B,)</f>
        <v>Electronics</v>
      </c>
      <c r="G44" s="1">
        <f>_xlfn.XLOOKUP(Sales_All[[#This Row],[Product]], Product_List!A:A, Product_List!D:D)</f>
        <v>469</v>
      </c>
      <c r="H44" s="7">
        <f>_xlfn.XLOOKUP(Sales_All[[#This Row],[Product]], Product_List!A:A, Product_List!E:E)</f>
        <v>0.22</v>
      </c>
      <c r="I44" s="4">
        <v>1</v>
      </c>
      <c r="J44" s="4">
        <v>1437</v>
      </c>
      <c r="K44" s="3">
        <f>EOMONTH(Sales_All[[#This Row],[Date]],0)</f>
        <v>45838</v>
      </c>
      <c r="L44" s="1">
        <f>_xlfn.XLOOKUP(Sales_All[[#This Row],[Month]], Finance_Data!A:A, Finance_Data!B:B)</f>
        <v>20079</v>
      </c>
      <c r="M44" s="1">
        <f>_xlfn.XLOOKUP(Sales_All[[#This Row],[Month]], Finance_Data!A:A, Finance_Data!C:C, 0)</f>
        <v>99954</v>
      </c>
      <c r="N44" s="1">
        <f>(Sales_All[[#This Row],[Quantity]]*Sales_All[[#This Row],[UnitPrice]]) - (Sales_All[[#This Row],[Quantity]]*Sales_All[[#This Row],[UnitCost]])  - Sales_All[[#This Row],[Overheads]] -Sales_All[[#This Row],[Salaries]]</f>
        <v>-119065</v>
      </c>
      <c r="O44">
        <f>_xlfn.XLOOKUP(Sales_All[[#This Row],[OrderID]], Operations_Data!A:A, Operations_Data!B:B)</f>
        <v>7</v>
      </c>
      <c r="P44">
        <f>_xlfn.XLOOKUP(Sales_All[[#This Row],[OrderID]], Operations_Data!A:A, Operations_Data!C:C)</f>
        <v>0</v>
      </c>
      <c r="Q44" s="1">
        <f>Sales_All[[#This Row],[Quantity]]*Sales_All[[#This Row],[UnitPrice]]</f>
        <v>1437</v>
      </c>
      <c r="R44" s="1">
        <f>Sales_All[[#This Row],[Revenue]]*(1-Sales_All[[#This Row],[Discount]])</f>
        <v>1120.8600000000001</v>
      </c>
      <c r="S44" s="1">
        <f>Sales_All[[#This Row],[Revenue]] -(Sales_All[[#This Row],[Quantity]]*Sales_All[[#This Row],[UnitCost]])-Sales_All[[#This Row],[Overheads]]</f>
        <v>-19111</v>
      </c>
      <c r="T44" s="1" t="str" cm="1">
        <f t="array" ref="T44">_xlfn.IFS(Sales_All[[#This Row],[Revenue]]&gt;50000,"VIP",Sales_All[[#This Row],[Revenue]]&gt;=20000,"Regular",Sales_All[[#This Row],[Revenue]]&lt;20000,"Low Value")</f>
        <v>Low Value</v>
      </c>
      <c r="U44" s="1" t="str">
        <f>INDEX(Product_List!B:B, MATCH(Sales_All[[#This Row],[Product]], Product_List!A:A, 0))</f>
        <v>Electronics</v>
      </c>
      <c r="V44" s="1" t="str" cm="1">
        <f t="array" ref="V44">_xlfn.TEXTJOIN(", ", TRUE,IF(Sales_All[CustomerID] = Sales_All[[#This Row],[CustomerID]], Sales_All[Product], ""))</f>
        <v>Laptop, Laptop, Headphones, Laptop, Tablet, Tablet, Monitor</v>
      </c>
    </row>
    <row r="45" spans="1:22" x14ac:dyDescent="0.3">
      <c r="A45" s="1" t="s">
        <v>60</v>
      </c>
      <c r="B45" s="3">
        <v>45754.479502314818</v>
      </c>
      <c r="C45" s="5" t="s">
        <v>19</v>
      </c>
      <c r="D45">
        <v>1009</v>
      </c>
      <c r="E45" s="5" t="s">
        <v>20</v>
      </c>
      <c r="F45" s="1" t="str">
        <f>_xlfn.XLOOKUP(Sales_All[[#This Row],[Product]], Product_List!A:A, Product_List!B:B,)</f>
        <v>Electronics</v>
      </c>
      <c r="G45" s="1">
        <f>_xlfn.XLOOKUP(Sales_All[[#This Row],[Product]], Product_List!A:A, Product_List!D:D)</f>
        <v>469</v>
      </c>
      <c r="H45" s="7">
        <f>_xlfn.XLOOKUP(Sales_All[[#This Row],[Product]], Product_List!A:A, Product_List!E:E)</f>
        <v>0.22</v>
      </c>
      <c r="I45" s="4">
        <v>8</v>
      </c>
      <c r="J45" s="4">
        <v>1539</v>
      </c>
      <c r="K45" s="3">
        <f>EOMONTH(Sales_All[[#This Row],[Date]],0)</f>
        <v>45777</v>
      </c>
      <c r="L45" s="1">
        <f>_xlfn.XLOOKUP(Sales_All[[#This Row],[Month]], Finance_Data!A:A, Finance_Data!B:B)</f>
        <v>44423</v>
      </c>
      <c r="M45" s="1">
        <f>_xlfn.XLOOKUP(Sales_All[[#This Row],[Month]], Finance_Data!A:A, Finance_Data!C:C, 0)</f>
        <v>90674</v>
      </c>
      <c r="N45" s="1">
        <f>(Sales_All[[#This Row],[Quantity]]*Sales_All[[#This Row],[UnitPrice]]) - (Sales_All[[#This Row],[Quantity]]*Sales_All[[#This Row],[UnitCost]])  - Sales_All[[#This Row],[Overheads]] -Sales_All[[#This Row],[Salaries]]</f>
        <v>-126537</v>
      </c>
      <c r="O45">
        <f>_xlfn.XLOOKUP(Sales_All[[#This Row],[OrderID]], Operations_Data!A:A, Operations_Data!B:B)</f>
        <v>4</v>
      </c>
      <c r="P45">
        <f>_xlfn.XLOOKUP(Sales_All[[#This Row],[OrderID]], Operations_Data!A:A, Operations_Data!C:C)</f>
        <v>0.03</v>
      </c>
      <c r="Q45" s="1">
        <f>Sales_All[[#This Row],[Quantity]]*Sales_All[[#This Row],[UnitPrice]]</f>
        <v>12312</v>
      </c>
      <c r="R45" s="1">
        <f>Sales_All[[#This Row],[Revenue]]*(1-Sales_All[[#This Row],[Discount]])</f>
        <v>9603.36</v>
      </c>
      <c r="S45" s="1">
        <f>Sales_All[[#This Row],[Revenue]] -(Sales_All[[#This Row],[Quantity]]*Sales_All[[#This Row],[UnitCost]])-Sales_All[[#This Row],[Overheads]]</f>
        <v>-35863</v>
      </c>
      <c r="T45" s="1" t="str" cm="1">
        <f t="array" ref="T45">_xlfn.IFS(Sales_All[[#This Row],[Revenue]]&gt;50000,"VIP",Sales_All[[#This Row],[Revenue]]&gt;=20000,"Regular",Sales_All[[#This Row],[Revenue]]&lt;20000,"Low Value")</f>
        <v>Low Value</v>
      </c>
      <c r="U45" s="1" t="str">
        <f>INDEX(Product_List!B:B, MATCH(Sales_All[[#This Row],[Product]], Product_List!A:A, 0))</f>
        <v>Electronics</v>
      </c>
      <c r="V45" s="1" t="str" cm="1">
        <f t="array" ref="V45">_xlfn.TEXTJOIN(", ", TRUE,IF(Sales_All[CustomerID] = Sales_All[[#This Row],[CustomerID]], Sales_All[Product], ""))</f>
        <v>Monitor, Headphones, Smartphone, Laptop, Printer, Smartphone</v>
      </c>
    </row>
    <row r="46" spans="1:22" x14ac:dyDescent="0.3">
      <c r="A46" s="1" t="s">
        <v>61</v>
      </c>
      <c r="B46" s="3">
        <v>45788.261284722219</v>
      </c>
      <c r="C46" s="5" t="s">
        <v>19</v>
      </c>
      <c r="D46">
        <v>1013</v>
      </c>
      <c r="E46" s="5" t="s">
        <v>25</v>
      </c>
      <c r="F46" s="1" t="str">
        <f>_xlfn.XLOOKUP(Sales_All[[#This Row],[Product]], Product_List!A:A, Product_List!B:B,)</f>
        <v>Office</v>
      </c>
      <c r="G46" s="1">
        <f>_xlfn.XLOOKUP(Sales_All[[#This Row],[Product]], Product_List!A:A, Product_List!D:D)</f>
        <v>136</v>
      </c>
      <c r="H46" s="7">
        <f>_xlfn.XLOOKUP(Sales_All[[#This Row],[Product]], Product_List!A:A, Product_List!E:E)</f>
        <v>0.1</v>
      </c>
      <c r="I46" s="4">
        <v>2</v>
      </c>
      <c r="J46" s="4">
        <v>1414</v>
      </c>
      <c r="K46" s="3">
        <f>EOMONTH(Sales_All[[#This Row],[Date]],0)</f>
        <v>45808</v>
      </c>
      <c r="L46" s="1">
        <f>_xlfn.XLOOKUP(Sales_All[[#This Row],[Month]], Finance_Data!A:A, Finance_Data!B:B)</f>
        <v>32119</v>
      </c>
      <c r="M46" s="1">
        <f>_xlfn.XLOOKUP(Sales_All[[#This Row],[Month]], Finance_Data!A:A, Finance_Data!C:C, 0)</f>
        <v>55646</v>
      </c>
      <c r="N46" s="1">
        <f>(Sales_All[[#This Row],[Quantity]]*Sales_All[[#This Row],[UnitPrice]]) - (Sales_All[[#This Row],[Quantity]]*Sales_All[[#This Row],[UnitCost]])  - Sales_All[[#This Row],[Overheads]] -Sales_All[[#This Row],[Salaries]]</f>
        <v>-85209</v>
      </c>
      <c r="O46">
        <f>_xlfn.XLOOKUP(Sales_All[[#This Row],[OrderID]], Operations_Data!A:A, Operations_Data!B:B)</f>
        <v>1</v>
      </c>
      <c r="P46">
        <f>_xlfn.XLOOKUP(Sales_All[[#This Row],[OrderID]], Operations_Data!A:A, Operations_Data!C:C)</f>
        <v>0.06</v>
      </c>
      <c r="Q46" s="1">
        <f>Sales_All[[#This Row],[Quantity]]*Sales_All[[#This Row],[UnitPrice]]</f>
        <v>2828</v>
      </c>
      <c r="R46" s="1">
        <f>Sales_All[[#This Row],[Revenue]]*(1-Sales_All[[#This Row],[Discount]])</f>
        <v>2545.2000000000003</v>
      </c>
      <c r="S46" s="1">
        <f>Sales_All[[#This Row],[Revenue]] -(Sales_All[[#This Row],[Quantity]]*Sales_All[[#This Row],[UnitCost]])-Sales_All[[#This Row],[Overheads]]</f>
        <v>-29563</v>
      </c>
      <c r="T46" s="1" t="str" cm="1">
        <f t="array" ref="T46">_xlfn.IFS(Sales_All[[#This Row],[Revenue]]&gt;50000,"VIP",Sales_All[[#This Row],[Revenue]]&gt;=20000,"Regular",Sales_All[[#This Row],[Revenue]]&lt;20000,"Low Value")</f>
        <v>Low Value</v>
      </c>
      <c r="U46" s="1" t="str">
        <f>INDEX(Product_List!B:B, MATCH(Sales_All[[#This Row],[Product]], Product_List!A:A, 0))</f>
        <v>Office</v>
      </c>
      <c r="V46" s="1" t="str" cm="1">
        <f t="array" ref="V46">_xlfn.TEXTJOIN(", ", TRUE,IF(Sales_All[CustomerID] = Sales_All[[#This Row],[CustomerID]], Sales_All[Product], ""))</f>
        <v>Laptop, Printer</v>
      </c>
    </row>
    <row r="47" spans="1:22" x14ac:dyDescent="0.3">
      <c r="A47" s="1" t="s">
        <v>62</v>
      </c>
      <c r="B47" s="3">
        <v>45789.088136574072</v>
      </c>
      <c r="C47" s="5" t="s">
        <v>16</v>
      </c>
      <c r="D47">
        <v>1011</v>
      </c>
      <c r="E47" s="5" t="s">
        <v>11</v>
      </c>
      <c r="F47" s="1" t="str">
        <f>_xlfn.XLOOKUP(Sales_All[[#This Row],[Product]], Product_List!A:A, Product_List!B:B,)</f>
        <v>Accessories</v>
      </c>
      <c r="G47" s="1">
        <f>_xlfn.XLOOKUP(Sales_All[[#This Row],[Product]], Product_List!A:A, Product_List!D:D)</f>
        <v>323</v>
      </c>
      <c r="H47" s="7">
        <f>_xlfn.XLOOKUP(Sales_All[[#This Row],[Product]], Product_List!A:A, Product_List!E:E)</f>
        <v>0.1</v>
      </c>
      <c r="I47" s="4">
        <v>9</v>
      </c>
      <c r="J47" s="4">
        <v>1076</v>
      </c>
      <c r="K47" s="3">
        <f>EOMONTH(Sales_All[[#This Row],[Date]],0)</f>
        <v>45808</v>
      </c>
      <c r="L47" s="1">
        <f>_xlfn.XLOOKUP(Sales_All[[#This Row],[Month]], Finance_Data!A:A, Finance_Data!B:B)</f>
        <v>32119</v>
      </c>
      <c r="M47" s="1">
        <f>_xlfn.XLOOKUP(Sales_All[[#This Row],[Month]], Finance_Data!A:A, Finance_Data!C:C, 0)</f>
        <v>55646</v>
      </c>
      <c r="N47" s="1">
        <f>(Sales_All[[#This Row],[Quantity]]*Sales_All[[#This Row],[UnitPrice]]) - (Sales_All[[#This Row],[Quantity]]*Sales_All[[#This Row],[UnitCost]])  - Sales_All[[#This Row],[Overheads]] -Sales_All[[#This Row],[Salaries]]</f>
        <v>-80988</v>
      </c>
      <c r="O47">
        <f>_xlfn.XLOOKUP(Sales_All[[#This Row],[OrderID]], Operations_Data!A:A, Operations_Data!B:B)</f>
        <v>5</v>
      </c>
      <c r="P47">
        <f>_xlfn.XLOOKUP(Sales_All[[#This Row],[OrderID]], Operations_Data!A:A, Operations_Data!C:C)</f>
        <v>0.1</v>
      </c>
      <c r="Q47" s="1">
        <f>Sales_All[[#This Row],[Quantity]]*Sales_All[[#This Row],[UnitPrice]]</f>
        <v>9684</v>
      </c>
      <c r="R47" s="1">
        <f>Sales_All[[#This Row],[Revenue]]*(1-Sales_All[[#This Row],[Discount]])</f>
        <v>8715.6</v>
      </c>
      <c r="S47" s="1">
        <f>Sales_All[[#This Row],[Revenue]] -(Sales_All[[#This Row],[Quantity]]*Sales_All[[#This Row],[UnitCost]])-Sales_All[[#This Row],[Overheads]]</f>
        <v>-25342</v>
      </c>
      <c r="T47" s="1" t="str" cm="1">
        <f t="array" ref="T47">_xlfn.IFS(Sales_All[[#This Row],[Revenue]]&gt;50000,"VIP",Sales_All[[#This Row],[Revenue]]&gt;=20000,"Regular",Sales_All[[#This Row],[Revenue]]&lt;20000,"Low Value")</f>
        <v>Low Value</v>
      </c>
      <c r="U47" s="1" t="str">
        <f>INDEX(Product_List!B:B, MATCH(Sales_All[[#This Row],[Product]], Product_List!A:A, 0))</f>
        <v>Accessories</v>
      </c>
      <c r="V47" s="1" t="str" cm="1">
        <f t="array" ref="V47">_xlfn.TEXTJOIN(", ", TRUE,IF(Sales_All[CustomerID] = Sales_All[[#This Row],[CustomerID]], Sales_All[Product], ""))</f>
        <v>Printer, Headphones, Tablet</v>
      </c>
    </row>
    <row r="48" spans="1:22" x14ac:dyDescent="0.3">
      <c r="A48" s="1" t="s">
        <v>63</v>
      </c>
      <c r="B48" s="3">
        <v>45787.813692129632</v>
      </c>
      <c r="C48" s="5" t="s">
        <v>19</v>
      </c>
      <c r="D48">
        <v>1009</v>
      </c>
      <c r="E48" s="5" t="s">
        <v>25</v>
      </c>
      <c r="F48" s="1" t="str">
        <f>_xlfn.XLOOKUP(Sales_All[[#This Row],[Product]], Product_List!A:A, Product_List!B:B,)</f>
        <v>Office</v>
      </c>
      <c r="G48" s="1">
        <f>_xlfn.XLOOKUP(Sales_All[[#This Row],[Product]], Product_List!A:A, Product_List!D:D)</f>
        <v>136</v>
      </c>
      <c r="H48" s="7">
        <f>_xlfn.XLOOKUP(Sales_All[[#This Row],[Product]], Product_List!A:A, Product_List!E:E)</f>
        <v>0.1</v>
      </c>
      <c r="I48" s="4">
        <v>1</v>
      </c>
      <c r="J48" s="4">
        <v>398</v>
      </c>
      <c r="K48" s="3">
        <f>EOMONTH(Sales_All[[#This Row],[Date]],0)</f>
        <v>45808</v>
      </c>
      <c r="L48" s="1">
        <f>_xlfn.XLOOKUP(Sales_All[[#This Row],[Month]], Finance_Data!A:A, Finance_Data!B:B)</f>
        <v>32119</v>
      </c>
      <c r="M48" s="1">
        <f>_xlfn.XLOOKUP(Sales_All[[#This Row],[Month]], Finance_Data!A:A, Finance_Data!C:C, 0)</f>
        <v>55646</v>
      </c>
      <c r="N48" s="1">
        <f>(Sales_All[[#This Row],[Quantity]]*Sales_All[[#This Row],[UnitPrice]]) - (Sales_All[[#This Row],[Quantity]]*Sales_All[[#This Row],[UnitCost]])  - Sales_All[[#This Row],[Overheads]] -Sales_All[[#This Row],[Salaries]]</f>
        <v>-87503</v>
      </c>
      <c r="O48">
        <f>_xlfn.XLOOKUP(Sales_All[[#This Row],[OrderID]], Operations_Data!A:A, Operations_Data!B:B)</f>
        <v>5</v>
      </c>
      <c r="P48">
        <f>_xlfn.XLOOKUP(Sales_All[[#This Row],[OrderID]], Operations_Data!A:A, Operations_Data!C:C)</f>
        <v>0.1</v>
      </c>
      <c r="Q48" s="1">
        <f>Sales_All[[#This Row],[Quantity]]*Sales_All[[#This Row],[UnitPrice]]</f>
        <v>398</v>
      </c>
      <c r="R48" s="1">
        <f>Sales_All[[#This Row],[Revenue]]*(1-Sales_All[[#This Row],[Discount]])</f>
        <v>358.2</v>
      </c>
      <c r="S48" s="1">
        <f>Sales_All[[#This Row],[Revenue]] -(Sales_All[[#This Row],[Quantity]]*Sales_All[[#This Row],[UnitCost]])-Sales_All[[#This Row],[Overheads]]</f>
        <v>-31857</v>
      </c>
      <c r="T48" s="1" t="str" cm="1">
        <f t="array" ref="T48">_xlfn.IFS(Sales_All[[#This Row],[Revenue]]&gt;50000,"VIP",Sales_All[[#This Row],[Revenue]]&gt;=20000,"Regular",Sales_All[[#This Row],[Revenue]]&lt;20000,"Low Value")</f>
        <v>Low Value</v>
      </c>
      <c r="U48" s="1" t="str">
        <f>INDEX(Product_List!B:B, MATCH(Sales_All[[#This Row],[Product]], Product_List!A:A, 0))</f>
        <v>Office</v>
      </c>
      <c r="V48" s="1" t="str" cm="1">
        <f t="array" ref="V48">_xlfn.TEXTJOIN(", ", TRUE,IF(Sales_All[CustomerID] = Sales_All[[#This Row],[CustomerID]], Sales_All[Product], ""))</f>
        <v>Monitor, Headphones, Smartphone, Laptop, Printer, Smartphone</v>
      </c>
    </row>
    <row r="49" spans="1:22" x14ac:dyDescent="0.3">
      <c r="A49" s="1" t="s">
        <v>64</v>
      </c>
      <c r="B49" s="3">
        <v>45807.765486111108</v>
      </c>
      <c r="C49" s="5" t="s">
        <v>16</v>
      </c>
      <c r="D49">
        <v>1003</v>
      </c>
      <c r="E49" s="5" t="s">
        <v>11</v>
      </c>
      <c r="F49" s="1" t="str">
        <f>_xlfn.XLOOKUP(Sales_All[[#This Row],[Product]], Product_List!A:A, Product_List!B:B,)</f>
        <v>Accessories</v>
      </c>
      <c r="G49" s="1">
        <f>_xlfn.XLOOKUP(Sales_All[[#This Row],[Product]], Product_List!A:A, Product_List!D:D)</f>
        <v>323</v>
      </c>
      <c r="H49" s="7">
        <f>_xlfn.XLOOKUP(Sales_All[[#This Row],[Product]], Product_List!A:A, Product_List!E:E)</f>
        <v>0.1</v>
      </c>
      <c r="I49" s="4">
        <v>8</v>
      </c>
      <c r="J49" s="4">
        <v>1684</v>
      </c>
      <c r="K49" s="3">
        <f>EOMONTH(Sales_All[[#This Row],[Date]],0)</f>
        <v>45808</v>
      </c>
      <c r="L49" s="1">
        <f>_xlfn.XLOOKUP(Sales_All[[#This Row],[Month]], Finance_Data!A:A, Finance_Data!B:B)</f>
        <v>32119</v>
      </c>
      <c r="M49" s="1">
        <f>_xlfn.XLOOKUP(Sales_All[[#This Row],[Month]], Finance_Data!A:A, Finance_Data!C:C, 0)</f>
        <v>55646</v>
      </c>
      <c r="N49" s="1">
        <f>(Sales_All[[#This Row],[Quantity]]*Sales_All[[#This Row],[UnitPrice]]) - (Sales_All[[#This Row],[Quantity]]*Sales_All[[#This Row],[UnitCost]])  - Sales_All[[#This Row],[Overheads]] -Sales_All[[#This Row],[Salaries]]</f>
        <v>-76877</v>
      </c>
      <c r="O49">
        <f>_xlfn.XLOOKUP(Sales_All[[#This Row],[OrderID]], Operations_Data!A:A, Operations_Data!B:B)</f>
        <v>6</v>
      </c>
      <c r="P49">
        <f>_xlfn.XLOOKUP(Sales_All[[#This Row],[OrderID]], Operations_Data!A:A, Operations_Data!C:C)</f>
        <v>0.1</v>
      </c>
      <c r="Q49" s="1">
        <f>Sales_All[[#This Row],[Quantity]]*Sales_All[[#This Row],[UnitPrice]]</f>
        <v>13472</v>
      </c>
      <c r="R49" s="1">
        <f>Sales_All[[#This Row],[Revenue]]*(1-Sales_All[[#This Row],[Discount]])</f>
        <v>12124.800000000001</v>
      </c>
      <c r="S49" s="1">
        <f>Sales_All[[#This Row],[Revenue]] -(Sales_All[[#This Row],[Quantity]]*Sales_All[[#This Row],[UnitCost]])-Sales_All[[#This Row],[Overheads]]</f>
        <v>-21231</v>
      </c>
      <c r="T49" s="1" t="str" cm="1">
        <f t="array" ref="T49">_xlfn.IFS(Sales_All[[#This Row],[Revenue]]&gt;50000,"VIP",Sales_All[[#This Row],[Revenue]]&gt;=20000,"Regular",Sales_All[[#This Row],[Revenue]]&lt;20000,"Low Value")</f>
        <v>Low Value</v>
      </c>
      <c r="U49" s="1" t="str">
        <f>INDEX(Product_List!B:B, MATCH(Sales_All[[#This Row],[Product]], Product_List!A:A, 0))</f>
        <v>Accessories</v>
      </c>
      <c r="V49" s="1" t="str" cm="1">
        <f t="array" ref="V49">_xlfn.TEXTJOIN(", ", TRUE,IF(Sales_All[CustomerID] = Sales_All[[#This Row],[CustomerID]], Sales_All[Product], ""))</f>
        <v>Printer, Monitor, Headphones, Monitor</v>
      </c>
    </row>
    <row r="50" spans="1:22" x14ac:dyDescent="0.3">
      <c r="A50" s="1" t="s">
        <v>65</v>
      </c>
      <c r="B50" s="3">
        <v>45749.992546296293</v>
      </c>
      <c r="C50" s="5" t="s">
        <v>19</v>
      </c>
      <c r="D50">
        <v>1010</v>
      </c>
      <c r="E50" s="5" t="s">
        <v>25</v>
      </c>
      <c r="F50" s="1" t="str">
        <f>_xlfn.XLOOKUP(Sales_All[[#This Row],[Product]], Product_List!A:A, Product_List!B:B,)</f>
        <v>Office</v>
      </c>
      <c r="G50" s="1">
        <f>_xlfn.XLOOKUP(Sales_All[[#This Row],[Product]], Product_List!A:A, Product_List!D:D)</f>
        <v>136</v>
      </c>
      <c r="H50" s="7">
        <f>_xlfn.XLOOKUP(Sales_All[[#This Row],[Product]], Product_List!A:A, Product_List!E:E)</f>
        <v>0.1</v>
      </c>
      <c r="I50" s="4">
        <v>1</v>
      </c>
      <c r="J50" s="4">
        <v>648</v>
      </c>
      <c r="K50" s="3">
        <f>EOMONTH(Sales_All[[#This Row],[Date]],0)</f>
        <v>45777</v>
      </c>
      <c r="L50" s="1">
        <f>_xlfn.XLOOKUP(Sales_All[[#This Row],[Month]], Finance_Data!A:A, Finance_Data!B:B)</f>
        <v>44423</v>
      </c>
      <c r="M50" s="1">
        <f>_xlfn.XLOOKUP(Sales_All[[#This Row],[Month]], Finance_Data!A:A, Finance_Data!C:C, 0)</f>
        <v>90674</v>
      </c>
      <c r="N50" s="1">
        <f>(Sales_All[[#This Row],[Quantity]]*Sales_All[[#This Row],[UnitPrice]]) - (Sales_All[[#This Row],[Quantity]]*Sales_All[[#This Row],[UnitCost]])  - Sales_All[[#This Row],[Overheads]] -Sales_All[[#This Row],[Salaries]]</f>
        <v>-134585</v>
      </c>
      <c r="O50">
        <f>_xlfn.XLOOKUP(Sales_All[[#This Row],[OrderID]], Operations_Data!A:A, Operations_Data!B:B)</f>
        <v>8</v>
      </c>
      <c r="P50">
        <f>_xlfn.XLOOKUP(Sales_All[[#This Row],[OrderID]], Operations_Data!A:A, Operations_Data!C:C)</f>
        <v>0.01</v>
      </c>
      <c r="Q50" s="1">
        <f>Sales_All[[#This Row],[Quantity]]*Sales_All[[#This Row],[UnitPrice]]</f>
        <v>648</v>
      </c>
      <c r="R50" s="1">
        <f>Sales_All[[#This Row],[Revenue]]*(1-Sales_All[[#This Row],[Discount]])</f>
        <v>583.20000000000005</v>
      </c>
      <c r="S50" s="1">
        <f>Sales_All[[#This Row],[Revenue]] -(Sales_All[[#This Row],[Quantity]]*Sales_All[[#This Row],[UnitCost]])-Sales_All[[#This Row],[Overheads]]</f>
        <v>-43911</v>
      </c>
      <c r="T50" s="1" t="str" cm="1">
        <f t="array" ref="T50">_xlfn.IFS(Sales_All[[#This Row],[Revenue]]&gt;50000,"VIP",Sales_All[[#This Row],[Revenue]]&gt;=20000,"Regular",Sales_All[[#This Row],[Revenue]]&lt;20000,"Low Value")</f>
        <v>Low Value</v>
      </c>
      <c r="U50" s="1" t="str">
        <f>INDEX(Product_List!B:B, MATCH(Sales_All[[#This Row],[Product]], Product_List!A:A, 0))</f>
        <v>Office</v>
      </c>
      <c r="V50" s="1" t="str" cm="1">
        <f t="array" ref="V50">_xlfn.TEXTJOIN(", ", TRUE,IF(Sales_All[CustomerID] = Sales_All[[#This Row],[CustomerID]], Sales_All[Product], ""))</f>
        <v>Headphones, Headphones, Smartphone, Monitor, Printer, Printer, Smartphone</v>
      </c>
    </row>
    <row r="51" spans="1:22" x14ac:dyDescent="0.3">
      <c r="A51" s="1" t="s">
        <v>66</v>
      </c>
      <c r="B51" s="3">
        <v>45816.867118055547</v>
      </c>
      <c r="C51" s="5" t="s">
        <v>16</v>
      </c>
      <c r="D51">
        <v>1006</v>
      </c>
      <c r="E51" s="5" t="s">
        <v>20</v>
      </c>
      <c r="F51" s="1" t="str">
        <f>_xlfn.XLOOKUP(Sales_All[[#This Row],[Product]], Product_List!A:A, Product_List!B:B,)</f>
        <v>Electronics</v>
      </c>
      <c r="G51" s="1">
        <f>_xlfn.XLOOKUP(Sales_All[[#This Row],[Product]], Product_List!A:A, Product_List!D:D)</f>
        <v>469</v>
      </c>
      <c r="H51" s="7">
        <f>_xlfn.XLOOKUP(Sales_All[[#This Row],[Product]], Product_List!A:A, Product_List!E:E)</f>
        <v>0.22</v>
      </c>
      <c r="I51" s="4">
        <v>6</v>
      </c>
      <c r="J51" s="4">
        <v>634</v>
      </c>
      <c r="K51" s="3">
        <f>EOMONTH(Sales_All[[#This Row],[Date]],0)</f>
        <v>45838</v>
      </c>
      <c r="L51" s="1">
        <f>_xlfn.XLOOKUP(Sales_All[[#This Row],[Month]], Finance_Data!A:A, Finance_Data!B:B)</f>
        <v>20079</v>
      </c>
      <c r="M51" s="1">
        <f>_xlfn.XLOOKUP(Sales_All[[#This Row],[Month]], Finance_Data!A:A, Finance_Data!C:C, 0)</f>
        <v>99954</v>
      </c>
      <c r="N51" s="1">
        <f>(Sales_All[[#This Row],[Quantity]]*Sales_All[[#This Row],[UnitPrice]]) - (Sales_All[[#This Row],[Quantity]]*Sales_All[[#This Row],[UnitCost]])  - Sales_All[[#This Row],[Overheads]] -Sales_All[[#This Row],[Salaries]]</f>
        <v>-119043</v>
      </c>
      <c r="O51">
        <f>_xlfn.XLOOKUP(Sales_All[[#This Row],[OrderID]], Operations_Data!A:A, Operations_Data!B:B)</f>
        <v>7</v>
      </c>
      <c r="P51">
        <f>_xlfn.XLOOKUP(Sales_All[[#This Row],[OrderID]], Operations_Data!A:A, Operations_Data!C:C)</f>
        <v>7.0000000000000007E-2</v>
      </c>
      <c r="Q51" s="1">
        <f>Sales_All[[#This Row],[Quantity]]*Sales_All[[#This Row],[UnitPrice]]</f>
        <v>3804</v>
      </c>
      <c r="R51" s="1">
        <f>Sales_All[[#This Row],[Revenue]]*(1-Sales_All[[#This Row],[Discount]])</f>
        <v>2967.12</v>
      </c>
      <c r="S51" s="1">
        <f>Sales_All[[#This Row],[Revenue]] -(Sales_All[[#This Row],[Quantity]]*Sales_All[[#This Row],[UnitCost]])-Sales_All[[#This Row],[Overheads]]</f>
        <v>-19089</v>
      </c>
      <c r="T51" s="1" t="str" cm="1">
        <f t="array" ref="T51">_xlfn.IFS(Sales_All[[#This Row],[Revenue]]&gt;50000,"VIP",Sales_All[[#This Row],[Revenue]]&gt;=20000,"Regular",Sales_All[[#This Row],[Revenue]]&lt;20000,"Low Value")</f>
        <v>Low Value</v>
      </c>
      <c r="U51" s="1" t="str">
        <f>INDEX(Product_List!B:B, MATCH(Sales_All[[#This Row],[Product]], Product_List!A:A, 0))</f>
        <v>Electronics</v>
      </c>
      <c r="V51" s="1" t="str" cm="1">
        <f t="array" ref="V51">_xlfn.TEXTJOIN(", ", TRUE,IF(Sales_All[CustomerID] = Sales_All[[#This Row],[CustomerID]], Sales_All[Product], ""))</f>
        <v>Laptop, Laptop, Headphones, Monitor, Headphones, Monitor</v>
      </c>
    </row>
    <row r="52" spans="1:22" x14ac:dyDescent="0.3">
      <c r="A52" s="1" t="s">
        <v>67</v>
      </c>
      <c r="B52" s="3">
        <v>45835.860034722216</v>
      </c>
      <c r="C52" s="5" t="s">
        <v>13</v>
      </c>
      <c r="D52">
        <v>1007</v>
      </c>
      <c r="E52" s="5" t="s">
        <v>20</v>
      </c>
      <c r="F52" s="1" t="str">
        <f>_xlfn.XLOOKUP(Sales_All[[#This Row],[Product]], Product_List!A:A, Product_List!B:B,)</f>
        <v>Electronics</v>
      </c>
      <c r="G52" s="1">
        <f>_xlfn.XLOOKUP(Sales_All[[#This Row],[Product]], Product_List!A:A, Product_List!D:D)</f>
        <v>469</v>
      </c>
      <c r="H52" s="7">
        <f>_xlfn.XLOOKUP(Sales_All[[#This Row],[Product]], Product_List!A:A, Product_List!E:E)</f>
        <v>0.22</v>
      </c>
      <c r="I52" s="4">
        <v>3</v>
      </c>
      <c r="J52" s="4">
        <v>119</v>
      </c>
      <c r="K52" s="3">
        <f>EOMONTH(Sales_All[[#This Row],[Date]],0)</f>
        <v>45838</v>
      </c>
      <c r="L52" s="1">
        <f>_xlfn.XLOOKUP(Sales_All[[#This Row],[Month]], Finance_Data!A:A, Finance_Data!B:B)</f>
        <v>20079</v>
      </c>
      <c r="M52" s="1">
        <f>_xlfn.XLOOKUP(Sales_All[[#This Row],[Month]], Finance_Data!A:A, Finance_Data!C:C, 0)</f>
        <v>99954</v>
      </c>
      <c r="N52" s="1">
        <f>(Sales_All[[#This Row],[Quantity]]*Sales_All[[#This Row],[UnitPrice]]) - (Sales_All[[#This Row],[Quantity]]*Sales_All[[#This Row],[UnitCost]])  - Sales_All[[#This Row],[Overheads]] -Sales_All[[#This Row],[Salaries]]</f>
        <v>-121083</v>
      </c>
      <c r="O52">
        <f>_xlfn.XLOOKUP(Sales_All[[#This Row],[OrderID]], Operations_Data!A:A, Operations_Data!B:B)</f>
        <v>7</v>
      </c>
      <c r="P52">
        <f>_xlfn.XLOOKUP(Sales_All[[#This Row],[OrderID]], Operations_Data!A:A, Operations_Data!C:C)</f>
        <v>0.05</v>
      </c>
      <c r="Q52" s="1">
        <f>Sales_All[[#This Row],[Quantity]]*Sales_All[[#This Row],[UnitPrice]]</f>
        <v>357</v>
      </c>
      <c r="R52" s="1">
        <f>Sales_All[[#This Row],[Revenue]]*(1-Sales_All[[#This Row],[Discount]])</f>
        <v>278.46000000000004</v>
      </c>
      <c r="S52" s="1">
        <f>Sales_All[[#This Row],[Revenue]] -(Sales_All[[#This Row],[Quantity]]*Sales_All[[#This Row],[UnitCost]])-Sales_All[[#This Row],[Overheads]]</f>
        <v>-21129</v>
      </c>
      <c r="T52" s="1" t="str" cm="1">
        <f t="array" ref="T52">_xlfn.IFS(Sales_All[[#This Row],[Revenue]]&gt;50000,"VIP",Sales_All[[#This Row],[Revenue]]&gt;=20000,"Regular",Sales_All[[#This Row],[Revenue]]&lt;20000,"Low Value")</f>
        <v>Low Value</v>
      </c>
      <c r="U52" s="1" t="str">
        <f>INDEX(Product_List!B:B, MATCH(Sales_All[[#This Row],[Product]], Product_List!A:A, 0))</f>
        <v>Electronics</v>
      </c>
      <c r="V52" s="1" t="str" cm="1">
        <f t="array" ref="V52">_xlfn.TEXTJOIN(", ", TRUE,IF(Sales_All[CustomerID] = Sales_All[[#This Row],[CustomerID]], Sales_All[Product], ""))</f>
        <v>Monitor, Laptop, Smartphone, Monitor</v>
      </c>
    </row>
    <row r="53" spans="1:22" x14ac:dyDescent="0.3">
      <c r="A53" s="1" t="s">
        <v>68</v>
      </c>
      <c r="B53" s="3">
        <v>45773.565625000003</v>
      </c>
      <c r="C53" s="5" t="s">
        <v>13</v>
      </c>
      <c r="D53">
        <v>1007</v>
      </c>
      <c r="E53" s="5" t="s">
        <v>17</v>
      </c>
      <c r="F53" s="1" t="str">
        <f>_xlfn.XLOOKUP(Sales_All[[#This Row],[Product]], Product_List!A:A, Product_List!B:B,)</f>
        <v>Electronics</v>
      </c>
      <c r="G53" s="1">
        <f>_xlfn.XLOOKUP(Sales_All[[#This Row],[Product]], Product_List!A:A, Product_List!D:D)</f>
        <v>97</v>
      </c>
      <c r="H53" s="7">
        <f>_xlfn.XLOOKUP(Sales_All[[#This Row],[Product]], Product_List!A:A, Product_List!E:E)</f>
        <v>0.08</v>
      </c>
      <c r="I53" s="4">
        <v>6</v>
      </c>
      <c r="J53" s="4">
        <v>1219</v>
      </c>
      <c r="K53" s="3">
        <f>EOMONTH(Sales_All[[#This Row],[Date]],0)</f>
        <v>45777</v>
      </c>
      <c r="L53" s="1">
        <f>_xlfn.XLOOKUP(Sales_All[[#This Row],[Month]], Finance_Data!A:A, Finance_Data!B:B)</f>
        <v>44423</v>
      </c>
      <c r="M53" s="1">
        <f>_xlfn.XLOOKUP(Sales_All[[#This Row],[Month]], Finance_Data!A:A, Finance_Data!C:C, 0)</f>
        <v>90674</v>
      </c>
      <c r="N53" s="1">
        <f>(Sales_All[[#This Row],[Quantity]]*Sales_All[[#This Row],[UnitPrice]]) - (Sales_All[[#This Row],[Quantity]]*Sales_All[[#This Row],[UnitCost]])  - Sales_All[[#This Row],[Overheads]] -Sales_All[[#This Row],[Salaries]]</f>
        <v>-128365</v>
      </c>
      <c r="O53">
        <f>_xlfn.XLOOKUP(Sales_All[[#This Row],[OrderID]], Operations_Data!A:A, Operations_Data!B:B)</f>
        <v>3</v>
      </c>
      <c r="P53">
        <f>_xlfn.XLOOKUP(Sales_All[[#This Row],[OrderID]], Operations_Data!A:A, Operations_Data!C:C)</f>
        <v>0.02</v>
      </c>
      <c r="Q53" s="1">
        <f>Sales_All[[#This Row],[Quantity]]*Sales_All[[#This Row],[UnitPrice]]</f>
        <v>7314</v>
      </c>
      <c r="R53" s="1">
        <f>Sales_All[[#This Row],[Revenue]]*(1-Sales_All[[#This Row],[Discount]])</f>
        <v>6728.88</v>
      </c>
      <c r="S53" s="1">
        <f>Sales_All[[#This Row],[Revenue]] -(Sales_All[[#This Row],[Quantity]]*Sales_All[[#This Row],[UnitCost]])-Sales_All[[#This Row],[Overheads]]</f>
        <v>-37691</v>
      </c>
      <c r="T53" s="1" t="str" cm="1">
        <f t="array" ref="T53">_xlfn.IFS(Sales_All[[#This Row],[Revenue]]&gt;50000,"VIP",Sales_All[[#This Row],[Revenue]]&gt;=20000,"Regular",Sales_All[[#This Row],[Revenue]]&lt;20000,"Low Value")</f>
        <v>Low Value</v>
      </c>
      <c r="U53" s="1" t="str">
        <f>INDEX(Product_List!B:B, MATCH(Sales_All[[#This Row],[Product]], Product_List!A:A, 0))</f>
        <v>Electronics</v>
      </c>
      <c r="V53" s="1" t="str" cm="1">
        <f t="array" ref="V53">_xlfn.TEXTJOIN(", ", TRUE,IF(Sales_All[CustomerID] = Sales_All[[#This Row],[CustomerID]], Sales_All[Product], ""))</f>
        <v>Monitor, Laptop, Smartphone, Monitor</v>
      </c>
    </row>
    <row r="54" spans="1:22" x14ac:dyDescent="0.3">
      <c r="A54" s="1" t="s">
        <v>69</v>
      </c>
      <c r="B54" s="3">
        <v>45790.724930555552</v>
      </c>
      <c r="C54" s="5" t="s">
        <v>8</v>
      </c>
      <c r="D54">
        <v>1020</v>
      </c>
      <c r="E54" s="5" t="s">
        <v>25</v>
      </c>
      <c r="F54" s="1" t="str">
        <f>_xlfn.XLOOKUP(Sales_All[[#This Row],[Product]], Product_List!A:A, Product_List!B:B,)</f>
        <v>Office</v>
      </c>
      <c r="G54" s="1">
        <f>_xlfn.XLOOKUP(Sales_All[[#This Row],[Product]], Product_List!A:A, Product_List!D:D)</f>
        <v>136</v>
      </c>
      <c r="H54" s="7">
        <f>_xlfn.XLOOKUP(Sales_All[[#This Row],[Product]], Product_List!A:A, Product_List!E:E)</f>
        <v>0.1</v>
      </c>
      <c r="I54" s="4">
        <v>2</v>
      </c>
      <c r="J54" s="4">
        <v>1169</v>
      </c>
      <c r="K54" s="3">
        <f>EOMONTH(Sales_All[[#This Row],[Date]],0)</f>
        <v>45808</v>
      </c>
      <c r="L54" s="1">
        <f>_xlfn.XLOOKUP(Sales_All[[#This Row],[Month]], Finance_Data!A:A, Finance_Data!B:B)</f>
        <v>32119</v>
      </c>
      <c r="M54" s="1">
        <f>_xlfn.XLOOKUP(Sales_All[[#This Row],[Month]], Finance_Data!A:A, Finance_Data!C:C, 0)</f>
        <v>55646</v>
      </c>
      <c r="N54" s="1">
        <f>(Sales_All[[#This Row],[Quantity]]*Sales_All[[#This Row],[UnitPrice]]) - (Sales_All[[#This Row],[Quantity]]*Sales_All[[#This Row],[UnitCost]])  - Sales_All[[#This Row],[Overheads]] -Sales_All[[#This Row],[Salaries]]</f>
        <v>-85699</v>
      </c>
      <c r="O54">
        <f>_xlfn.XLOOKUP(Sales_All[[#This Row],[OrderID]], Operations_Data!A:A, Operations_Data!B:B)</f>
        <v>5</v>
      </c>
      <c r="P54">
        <f>_xlfn.XLOOKUP(Sales_All[[#This Row],[OrderID]], Operations_Data!A:A, Operations_Data!C:C)</f>
        <v>0.09</v>
      </c>
      <c r="Q54" s="1">
        <f>Sales_All[[#This Row],[Quantity]]*Sales_All[[#This Row],[UnitPrice]]</f>
        <v>2338</v>
      </c>
      <c r="R54" s="1">
        <f>Sales_All[[#This Row],[Revenue]]*(1-Sales_All[[#This Row],[Discount]])</f>
        <v>2104.2000000000003</v>
      </c>
      <c r="S54" s="1">
        <f>Sales_All[[#This Row],[Revenue]] -(Sales_All[[#This Row],[Quantity]]*Sales_All[[#This Row],[UnitCost]])-Sales_All[[#This Row],[Overheads]]</f>
        <v>-30053</v>
      </c>
      <c r="T54" s="1" t="str" cm="1">
        <f t="array" ref="T54">_xlfn.IFS(Sales_All[[#This Row],[Revenue]]&gt;50000,"VIP",Sales_All[[#This Row],[Revenue]]&gt;=20000,"Regular",Sales_All[[#This Row],[Revenue]]&lt;20000,"Low Value")</f>
        <v>Low Value</v>
      </c>
      <c r="U54" s="1" t="str">
        <f>INDEX(Product_List!B:B, MATCH(Sales_All[[#This Row],[Product]], Product_List!A:A, 0))</f>
        <v>Office</v>
      </c>
      <c r="V54" s="1" t="str" cm="1">
        <f t="array" ref="V54">_xlfn.TEXTJOIN(", ", TRUE,IF(Sales_All[CustomerID] = Sales_All[[#This Row],[CustomerID]], Sales_All[Product], ""))</f>
        <v>Printer, Headphones, Laptop, Printer</v>
      </c>
    </row>
    <row r="55" spans="1:22" x14ac:dyDescent="0.3">
      <c r="A55" s="1" t="s">
        <v>70</v>
      </c>
      <c r="B55" s="3">
        <v>45790.060497685183</v>
      </c>
      <c r="C55" s="5" t="s">
        <v>13</v>
      </c>
      <c r="D55">
        <v>1019</v>
      </c>
      <c r="E55" s="5" t="s">
        <v>11</v>
      </c>
      <c r="F55" s="1" t="str">
        <f>_xlfn.XLOOKUP(Sales_All[[#This Row],[Product]], Product_List!A:A, Product_List!B:B,)</f>
        <v>Accessories</v>
      </c>
      <c r="G55" s="1">
        <f>_xlfn.XLOOKUP(Sales_All[[#This Row],[Product]], Product_List!A:A, Product_List!D:D)</f>
        <v>323</v>
      </c>
      <c r="H55" s="7">
        <f>_xlfn.XLOOKUP(Sales_All[[#This Row],[Product]], Product_List!A:A, Product_List!E:E)</f>
        <v>0.1</v>
      </c>
      <c r="I55" s="4">
        <v>4</v>
      </c>
      <c r="J55" s="4">
        <v>1964</v>
      </c>
      <c r="K55" s="3">
        <f>EOMONTH(Sales_All[[#This Row],[Date]],0)</f>
        <v>45808</v>
      </c>
      <c r="L55" s="1">
        <f>_xlfn.XLOOKUP(Sales_All[[#This Row],[Month]], Finance_Data!A:A, Finance_Data!B:B)</f>
        <v>32119</v>
      </c>
      <c r="M55" s="1">
        <f>_xlfn.XLOOKUP(Sales_All[[#This Row],[Month]], Finance_Data!A:A, Finance_Data!C:C, 0)</f>
        <v>55646</v>
      </c>
      <c r="N55" s="1">
        <f>(Sales_All[[#This Row],[Quantity]]*Sales_All[[#This Row],[UnitPrice]]) - (Sales_All[[#This Row],[Quantity]]*Sales_All[[#This Row],[UnitCost]])  - Sales_All[[#This Row],[Overheads]] -Sales_All[[#This Row],[Salaries]]</f>
        <v>-81201</v>
      </c>
      <c r="O55">
        <f>_xlfn.XLOOKUP(Sales_All[[#This Row],[OrderID]], Operations_Data!A:A, Operations_Data!B:B)</f>
        <v>3</v>
      </c>
      <c r="P55">
        <f>_xlfn.XLOOKUP(Sales_All[[#This Row],[OrderID]], Operations_Data!A:A, Operations_Data!C:C)</f>
        <v>0.02</v>
      </c>
      <c r="Q55" s="1">
        <f>Sales_All[[#This Row],[Quantity]]*Sales_All[[#This Row],[UnitPrice]]</f>
        <v>7856</v>
      </c>
      <c r="R55" s="1">
        <f>Sales_All[[#This Row],[Revenue]]*(1-Sales_All[[#This Row],[Discount]])</f>
        <v>7070.4000000000005</v>
      </c>
      <c r="S55" s="1">
        <f>Sales_All[[#This Row],[Revenue]] -(Sales_All[[#This Row],[Quantity]]*Sales_All[[#This Row],[UnitCost]])-Sales_All[[#This Row],[Overheads]]</f>
        <v>-25555</v>
      </c>
      <c r="T55" s="1" t="str" cm="1">
        <f t="array" ref="T55">_xlfn.IFS(Sales_All[[#This Row],[Revenue]]&gt;50000,"VIP",Sales_All[[#This Row],[Revenue]]&gt;=20000,"Regular",Sales_All[[#This Row],[Revenue]]&lt;20000,"Low Value")</f>
        <v>Low Value</v>
      </c>
      <c r="U55" s="1" t="str">
        <f>INDEX(Product_List!B:B, MATCH(Sales_All[[#This Row],[Product]], Product_List!A:A, 0))</f>
        <v>Accessories</v>
      </c>
      <c r="V55" s="1" t="str" cm="1">
        <f t="array" ref="V55">_xlfn.TEXTJOIN(", ", TRUE,IF(Sales_All[CustomerID] = Sales_All[[#This Row],[CustomerID]], Sales_All[Product], ""))</f>
        <v>Laptop, Laptop, Headphones, Laptop, Tablet, Tablet, Monitor</v>
      </c>
    </row>
    <row r="56" spans="1:22" x14ac:dyDescent="0.3">
      <c r="A56" s="1" t="s">
        <v>71</v>
      </c>
      <c r="B56" s="3">
        <v>45797.920590277783</v>
      </c>
      <c r="C56" s="5" t="s">
        <v>13</v>
      </c>
      <c r="D56">
        <v>1002</v>
      </c>
      <c r="E56" s="5" t="s">
        <v>9</v>
      </c>
      <c r="F56" s="1" t="str">
        <f>_xlfn.XLOOKUP(Sales_All[[#This Row],[Product]], Product_List!A:A, Product_List!B:B,)</f>
        <v>Electronics</v>
      </c>
      <c r="G56" s="1">
        <f>_xlfn.XLOOKUP(Sales_All[[#This Row],[Product]], Product_List!A:A, Product_List!D:D)</f>
        <v>492</v>
      </c>
      <c r="H56" s="7">
        <f>_xlfn.XLOOKUP(Sales_All[[#This Row],[Product]], Product_List!A:A, Product_List!E:E)</f>
        <v>0.14000000000000001</v>
      </c>
      <c r="I56" s="4">
        <v>4</v>
      </c>
      <c r="J56" s="4">
        <v>1929</v>
      </c>
      <c r="K56" s="3">
        <f>EOMONTH(Sales_All[[#This Row],[Date]],0)</f>
        <v>45808</v>
      </c>
      <c r="L56" s="1">
        <f>_xlfn.XLOOKUP(Sales_All[[#This Row],[Month]], Finance_Data!A:A, Finance_Data!B:B)</f>
        <v>32119</v>
      </c>
      <c r="M56" s="1">
        <f>_xlfn.XLOOKUP(Sales_All[[#This Row],[Month]], Finance_Data!A:A, Finance_Data!C:C, 0)</f>
        <v>55646</v>
      </c>
      <c r="N56" s="1">
        <f>(Sales_All[[#This Row],[Quantity]]*Sales_All[[#This Row],[UnitPrice]]) - (Sales_All[[#This Row],[Quantity]]*Sales_All[[#This Row],[UnitCost]])  - Sales_All[[#This Row],[Overheads]] -Sales_All[[#This Row],[Salaries]]</f>
        <v>-82017</v>
      </c>
      <c r="O56">
        <f>_xlfn.XLOOKUP(Sales_All[[#This Row],[OrderID]], Operations_Data!A:A, Operations_Data!B:B)</f>
        <v>8</v>
      </c>
      <c r="P56">
        <f>_xlfn.XLOOKUP(Sales_All[[#This Row],[OrderID]], Operations_Data!A:A, Operations_Data!C:C)</f>
        <v>0.1</v>
      </c>
      <c r="Q56" s="1">
        <f>Sales_All[[#This Row],[Quantity]]*Sales_All[[#This Row],[UnitPrice]]</f>
        <v>7716</v>
      </c>
      <c r="R56" s="1">
        <f>Sales_All[[#This Row],[Revenue]]*(1-Sales_All[[#This Row],[Discount]])</f>
        <v>6635.76</v>
      </c>
      <c r="S56" s="1">
        <f>Sales_All[[#This Row],[Revenue]] -(Sales_All[[#This Row],[Quantity]]*Sales_All[[#This Row],[UnitCost]])-Sales_All[[#This Row],[Overheads]]</f>
        <v>-26371</v>
      </c>
      <c r="T56" s="1" t="str" cm="1">
        <f t="array" ref="T56">_xlfn.IFS(Sales_All[[#This Row],[Revenue]]&gt;50000,"VIP",Sales_All[[#This Row],[Revenue]]&gt;=20000,"Regular",Sales_All[[#This Row],[Revenue]]&lt;20000,"Low Value")</f>
        <v>Low Value</v>
      </c>
      <c r="U56" s="1" t="str">
        <f>INDEX(Product_List!B:B, MATCH(Sales_All[[#This Row],[Product]], Product_List!A:A, 0))</f>
        <v>Electronics</v>
      </c>
      <c r="V56" s="1" t="str" cm="1">
        <f t="array" ref="V56">_xlfn.TEXTJOIN(", ", TRUE,IF(Sales_All[CustomerID] = Sales_All[[#This Row],[CustomerID]], Sales_All[Product], ""))</f>
        <v>Tablet, Laptop, Headphones, Laptop</v>
      </c>
    </row>
    <row r="57" spans="1:22" x14ac:dyDescent="0.3">
      <c r="A57" s="1" t="s">
        <v>72</v>
      </c>
      <c r="B57" s="3">
        <v>45756.893043981479</v>
      </c>
      <c r="C57" s="5" t="s">
        <v>16</v>
      </c>
      <c r="D57">
        <v>1005</v>
      </c>
      <c r="E57" s="5" t="s">
        <v>25</v>
      </c>
      <c r="F57" s="1" t="str">
        <f>_xlfn.XLOOKUP(Sales_All[[#This Row],[Product]], Product_List!A:A, Product_List!B:B,)</f>
        <v>Office</v>
      </c>
      <c r="G57" s="1">
        <f>_xlfn.XLOOKUP(Sales_All[[#This Row],[Product]], Product_List!A:A, Product_List!D:D)</f>
        <v>136</v>
      </c>
      <c r="H57" s="7">
        <f>_xlfn.XLOOKUP(Sales_All[[#This Row],[Product]], Product_List!A:A, Product_List!E:E)</f>
        <v>0.1</v>
      </c>
      <c r="I57" s="4">
        <v>2</v>
      </c>
      <c r="J57" s="4">
        <v>109</v>
      </c>
      <c r="K57" s="3">
        <f>EOMONTH(Sales_All[[#This Row],[Date]],0)</f>
        <v>45777</v>
      </c>
      <c r="L57" s="1">
        <f>_xlfn.XLOOKUP(Sales_All[[#This Row],[Month]], Finance_Data!A:A, Finance_Data!B:B)</f>
        <v>44423</v>
      </c>
      <c r="M57" s="1">
        <f>_xlfn.XLOOKUP(Sales_All[[#This Row],[Month]], Finance_Data!A:A, Finance_Data!C:C, 0)</f>
        <v>90674</v>
      </c>
      <c r="N57" s="1">
        <f>(Sales_All[[#This Row],[Quantity]]*Sales_All[[#This Row],[UnitPrice]]) - (Sales_All[[#This Row],[Quantity]]*Sales_All[[#This Row],[UnitCost]])  - Sales_All[[#This Row],[Overheads]] -Sales_All[[#This Row],[Salaries]]</f>
        <v>-135151</v>
      </c>
      <c r="O57">
        <f>_xlfn.XLOOKUP(Sales_All[[#This Row],[OrderID]], Operations_Data!A:A, Operations_Data!B:B)</f>
        <v>2</v>
      </c>
      <c r="P57">
        <f>_xlfn.XLOOKUP(Sales_All[[#This Row],[OrderID]], Operations_Data!A:A, Operations_Data!C:C)</f>
        <v>0.06</v>
      </c>
      <c r="Q57" s="1">
        <f>Sales_All[[#This Row],[Quantity]]*Sales_All[[#This Row],[UnitPrice]]</f>
        <v>218</v>
      </c>
      <c r="R57" s="1">
        <f>Sales_All[[#This Row],[Revenue]]*(1-Sales_All[[#This Row],[Discount]])</f>
        <v>196.20000000000002</v>
      </c>
      <c r="S57" s="1">
        <f>Sales_All[[#This Row],[Revenue]] -(Sales_All[[#This Row],[Quantity]]*Sales_All[[#This Row],[UnitCost]])-Sales_All[[#This Row],[Overheads]]</f>
        <v>-44477</v>
      </c>
      <c r="T57" s="1" t="str" cm="1">
        <f t="array" ref="T57">_xlfn.IFS(Sales_All[[#This Row],[Revenue]]&gt;50000,"VIP",Sales_All[[#This Row],[Revenue]]&gt;=20000,"Regular",Sales_All[[#This Row],[Revenue]]&lt;20000,"Low Value")</f>
        <v>Low Value</v>
      </c>
      <c r="U57" s="1" t="str">
        <f>INDEX(Product_List!B:B, MATCH(Sales_All[[#This Row],[Product]], Product_List!A:A, 0))</f>
        <v>Office</v>
      </c>
      <c r="V57" s="1" t="str" cm="1">
        <f t="array" ref="V57">_xlfn.TEXTJOIN(", ", TRUE,IF(Sales_All[CustomerID] = Sales_All[[#This Row],[CustomerID]], Sales_All[Product], ""))</f>
        <v>Monitor, Printer, Printer, Printer, Tablet</v>
      </c>
    </row>
    <row r="58" spans="1:22" x14ac:dyDescent="0.3">
      <c r="A58" s="1" t="s">
        <v>73</v>
      </c>
      <c r="B58" s="3">
        <v>45782.080439814818</v>
      </c>
      <c r="C58" s="5" t="s">
        <v>19</v>
      </c>
      <c r="D58">
        <v>1009</v>
      </c>
      <c r="E58" s="5" t="s">
        <v>17</v>
      </c>
      <c r="F58" s="1" t="str">
        <f>_xlfn.XLOOKUP(Sales_All[[#This Row],[Product]], Product_List!A:A, Product_List!B:B,)</f>
        <v>Electronics</v>
      </c>
      <c r="G58" s="1">
        <f>_xlfn.XLOOKUP(Sales_All[[#This Row],[Product]], Product_List!A:A, Product_List!D:D)</f>
        <v>97</v>
      </c>
      <c r="H58" s="7">
        <f>_xlfn.XLOOKUP(Sales_All[[#This Row],[Product]], Product_List!A:A, Product_List!E:E)</f>
        <v>0.08</v>
      </c>
      <c r="I58" s="4">
        <v>9</v>
      </c>
      <c r="J58" s="4">
        <v>249</v>
      </c>
      <c r="K58" s="3">
        <f>EOMONTH(Sales_All[[#This Row],[Date]],0)</f>
        <v>45808</v>
      </c>
      <c r="L58" s="1">
        <f>_xlfn.XLOOKUP(Sales_All[[#This Row],[Month]], Finance_Data!A:A, Finance_Data!B:B)</f>
        <v>32119</v>
      </c>
      <c r="M58" s="1">
        <f>_xlfn.XLOOKUP(Sales_All[[#This Row],[Month]], Finance_Data!A:A, Finance_Data!C:C, 0)</f>
        <v>55646</v>
      </c>
      <c r="N58" s="1">
        <f>(Sales_All[[#This Row],[Quantity]]*Sales_All[[#This Row],[UnitPrice]]) - (Sales_All[[#This Row],[Quantity]]*Sales_All[[#This Row],[UnitCost]])  - Sales_All[[#This Row],[Overheads]] -Sales_All[[#This Row],[Salaries]]</f>
        <v>-86397</v>
      </c>
      <c r="O58">
        <f>_xlfn.XLOOKUP(Sales_All[[#This Row],[OrderID]], Operations_Data!A:A, Operations_Data!B:B)</f>
        <v>7</v>
      </c>
      <c r="P58">
        <f>_xlfn.XLOOKUP(Sales_All[[#This Row],[OrderID]], Operations_Data!A:A, Operations_Data!C:C)</f>
        <v>0.02</v>
      </c>
      <c r="Q58" s="1">
        <f>Sales_All[[#This Row],[Quantity]]*Sales_All[[#This Row],[UnitPrice]]</f>
        <v>2241</v>
      </c>
      <c r="R58" s="1">
        <f>Sales_All[[#This Row],[Revenue]]*(1-Sales_All[[#This Row],[Discount]])</f>
        <v>2061.7200000000003</v>
      </c>
      <c r="S58" s="1">
        <f>Sales_All[[#This Row],[Revenue]] -(Sales_All[[#This Row],[Quantity]]*Sales_All[[#This Row],[UnitCost]])-Sales_All[[#This Row],[Overheads]]</f>
        <v>-30751</v>
      </c>
      <c r="T58" s="1" t="str" cm="1">
        <f t="array" ref="T58">_xlfn.IFS(Sales_All[[#This Row],[Revenue]]&gt;50000,"VIP",Sales_All[[#This Row],[Revenue]]&gt;=20000,"Regular",Sales_All[[#This Row],[Revenue]]&lt;20000,"Low Value")</f>
        <v>Low Value</v>
      </c>
      <c r="U58" s="1" t="str">
        <f>INDEX(Product_List!B:B, MATCH(Sales_All[[#This Row],[Product]], Product_List!A:A, 0))</f>
        <v>Electronics</v>
      </c>
      <c r="V58" s="1" t="str" cm="1">
        <f t="array" ref="V58">_xlfn.TEXTJOIN(", ", TRUE,IF(Sales_All[CustomerID] = Sales_All[[#This Row],[CustomerID]], Sales_All[Product], ""))</f>
        <v>Monitor, Headphones, Smartphone, Laptop, Printer, Smartphone</v>
      </c>
    </row>
    <row r="59" spans="1:22" x14ac:dyDescent="0.3">
      <c r="A59" s="1" t="s">
        <v>74</v>
      </c>
      <c r="B59" s="3">
        <v>45770.850115740737</v>
      </c>
      <c r="C59" s="5" t="s">
        <v>16</v>
      </c>
      <c r="D59">
        <v>1018</v>
      </c>
      <c r="E59" s="5" t="s">
        <v>11</v>
      </c>
      <c r="F59" s="1" t="str">
        <f>_xlfn.XLOOKUP(Sales_All[[#This Row],[Product]], Product_List!A:A, Product_List!B:B,)</f>
        <v>Accessories</v>
      </c>
      <c r="G59" s="1">
        <f>_xlfn.XLOOKUP(Sales_All[[#This Row],[Product]], Product_List!A:A, Product_List!D:D)</f>
        <v>323</v>
      </c>
      <c r="H59" s="7">
        <f>_xlfn.XLOOKUP(Sales_All[[#This Row],[Product]], Product_List!A:A, Product_List!E:E)</f>
        <v>0.1</v>
      </c>
      <c r="I59" s="4">
        <v>7</v>
      </c>
      <c r="J59" s="4">
        <v>520</v>
      </c>
      <c r="K59" s="3">
        <f>EOMONTH(Sales_All[[#This Row],[Date]],0)</f>
        <v>45777</v>
      </c>
      <c r="L59" s="1">
        <f>_xlfn.XLOOKUP(Sales_All[[#This Row],[Month]], Finance_Data!A:A, Finance_Data!B:B)</f>
        <v>44423</v>
      </c>
      <c r="M59" s="1">
        <f>_xlfn.XLOOKUP(Sales_All[[#This Row],[Month]], Finance_Data!A:A, Finance_Data!C:C, 0)</f>
        <v>90674</v>
      </c>
      <c r="N59" s="1">
        <f>(Sales_All[[#This Row],[Quantity]]*Sales_All[[#This Row],[UnitPrice]]) - (Sales_All[[#This Row],[Quantity]]*Sales_All[[#This Row],[UnitCost]])  - Sales_All[[#This Row],[Overheads]] -Sales_All[[#This Row],[Salaries]]</f>
        <v>-133718</v>
      </c>
      <c r="O59">
        <f>_xlfn.XLOOKUP(Sales_All[[#This Row],[OrderID]], Operations_Data!A:A, Operations_Data!B:B)</f>
        <v>7</v>
      </c>
      <c r="P59">
        <f>_xlfn.XLOOKUP(Sales_All[[#This Row],[OrderID]], Operations_Data!A:A, Operations_Data!C:C)</f>
        <v>0.04</v>
      </c>
      <c r="Q59" s="1">
        <f>Sales_All[[#This Row],[Quantity]]*Sales_All[[#This Row],[UnitPrice]]</f>
        <v>3640</v>
      </c>
      <c r="R59" s="1">
        <f>Sales_All[[#This Row],[Revenue]]*(1-Sales_All[[#This Row],[Discount]])</f>
        <v>3276</v>
      </c>
      <c r="S59" s="1">
        <f>Sales_All[[#This Row],[Revenue]] -(Sales_All[[#This Row],[Quantity]]*Sales_All[[#This Row],[UnitCost]])-Sales_All[[#This Row],[Overheads]]</f>
        <v>-43044</v>
      </c>
      <c r="T59" s="1" t="str" cm="1">
        <f t="array" ref="T59">_xlfn.IFS(Sales_All[[#This Row],[Revenue]]&gt;50000,"VIP",Sales_All[[#This Row],[Revenue]]&gt;=20000,"Regular",Sales_All[[#This Row],[Revenue]]&lt;20000,"Low Value")</f>
        <v>Low Value</v>
      </c>
      <c r="U59" s="1" t="str">
        <f>INDEX(Product_List!B:B, MATCH(Sales_All[[#This Row],[Product]], Product_List!A:A, 0))</f>
        <v>Accessories</v>
      </c>
      <c r="V59" s="1" t="str" cm="1">
        <f t="array" ref="V59">_xlfn.TEXTJOIN(", ", TRUE,IF(Sales_All[CustomerID] = Sales_All[[#This Row],[CustomerID]], Sales_All[Product], ""))</f>
        <v>Tablet, Smartphone, Headphones, Headphones, Monitor, Laptop</v>
      </c>
    </row>
    <row r="60" spans="1:22" x14ac:dyDescent="0.3">
      <c r="A60" s="1" t="s">
        <v>75</v>
      </c>
      <c r="B60" s="3">
        <v>45811.899641203701</v>
      </c>
      <c r="C60" s="5" t="s">
        <v>8</v>
      </c>
      <c r="D60">
        <v>1007</v>
      </c>
      <c r="E60" s="5" t="s">
        <v>14</v>
      </c>
      <c r="F60" s="1" t="str">
        <f>_xlfn.XLOOKUP(Sales_All[[#This Row],[Product]], Product_List!A:A, Product_List!B:B,)</f>
        <v>Electronics</v>
      </c>
      <c r="G60" s="1">
        <f>_xlfn.XLOOKUP(Sales_All[[#This Row],[Product]], Product_List!A:A, Product_List!D:D)</f>
        <v>463</v>
      </c>
      <c r="H60" s="7">
        <f>_xlfn.XLOOKUP(Sales_All[[#This Row],[Product]], Product_List!A:A, Product_List!E:E)</f>
        <v>0.23</v>
      </c>
      <c r="I60" s="4">
        <v>9</v>
      </c>
      <c r="J60" s="4">
        <v>854</v>
      </c>
      <c r="K60" s="3">
        <f>EOMONTH(Sales_All[[#This Row],[Date]],0)</f>
        <v>45838</v>
      </c>
      <c r="L60" s="1">
        <f>_xlfn.XLOOKUP(Sales_All[[#This Row],[Month]], Finance_Data!A:A, Finance_Data!B:B)</f>
        <v>20079</v>
      </c>
      <c r="M60" s="1">
        <f>_xlfn.XLOOKUP(Sales_All[[#This Row],[Month]], Finance_Data!A:A, Finance_Data!C:C, 0)</f>
        <v>99954</v>
      </c>
      <c r="N60" s="1">
        <f>(Sales_All[[#This Row],[Quantity]]*Sales_All[[#This Row],[UnitPrice]]) - (Sales_All[[#This Row],[Quantity]]*Sales_All[[#This Row],[UnitCost]])  - Sales_All[[#This Row],[Overheads]] -Sales_All[[#This Row],[Salaries]]</f>
        <v>-116514</v>
      </c>
      <c r="O60">
        <f>_xlfn.XLOOKUP(Sales_All[[#This Row],[OrderID]], Operations_Data!A:A, Operations_Data!B:B)</f>
        <v>1</v>
      </c>
      <c r="P60">
        <f>_xlfn.XLOOKUP(Sales_All[[#This Row],[OrderID]], Operations_Data!A:A, Operations_Data!C:C)</f>
        <v>0.02</v>
      </c>
      <c r="Q60" s="1">
        <f>Sales_All[[#This Row],[Quantity]]*Sales_All[[#This Row],[UnitPrice]]</f>
        <v>7686</v>
      </c>
      <c r="R60" s="1">
        <f>Sales_All[[#This Row],[Revenue]]*(1-Sales_All[[#This Row],[Discount]])</f>
        <v>5918.22</v>
      </c>
      <c r="S60" s="1">
        <f>Sales_All[[#This Row],[Revenue]] -(Sales_All[[#This Row],[Quantity]]*Sales_All[[#This Row],[UnitCost]])-Sales_All[[#This Row],[Overheads]]</f>
        <v>-16560</v>
      </c>
      <c r="T60" s="1" t="str" cm="1">
        <f t="array" ref="T60">_xlfn.IFS(Sales_All[[#This Row],[Revenue]]&gt;50000,"VIP",Sales_All[[#This Row],[Revenue]]&gt;=20000,"Regular",Sales_All[[#This Row],[Revenue]]&lt;20000,"Low Value")</f>
        <v>Low Value</v>
      </c>
      <c r="U60" s="1" t="str">
        <f>INDEX(Product_List!B:B, MATCH(Sales_All[[#This Row],[Product]], Product_List!A:A, 0))</f>
        <v>Electronics</v>
      </c>
      <c r="V60" s="1" t="str" cm="1">
        <f t="array" ref="V60">_xlfn.TEXTJOIN(", ", TRUE,IF(Sales_All[CustomerID] = Sales_All[[#This Row],[CustomerID]], Sales_All[Product], ""))</f>
        <v>Monitor, Laptop, Smartphone, Monitor</v>
      </c>
    </row>
    <row r="61" spans="1:22" x14ac:dyDescent="0.3">
      <c r="A61" s="1" t="s">
        <v>76</v>
      </c>
      <c r="B61" s="3">
        <v>45752.782893518517</v>
      </c>
      <c r="C61" s="5" t="s">
        <v>16</v>
      </c>
      <c r="D61">
        <v>1006</v>
      </c>
      <c r="E61" s="5" t="s">
        <v>11</v>
      </c>
      <c r="F61" s="1" t="str">
        <f>_xlfn.XLOOKUP(Sales_All[[#This Row],[Product]], Product_List!A:A, Product_List!B:B,)</f>
        <v>Accessories</v>
      </c>
      <c r="G61" s="1">
        <f>_xlfn.XLOOKUP(Sales_All[[#This Row],[Product]], Product_List!A:A, Product_List!D:D)</f>
        <v>323</v>
      </c>
      <c r="H61" s="7">
        <f>_xlfn.XLOOKUP(Sales_All[[#This Row],[Product]], Product_List!A:A, Product_List!E:E)</f>
        <v>0.1</v>
      </c>
      <c r="I61" s="4">
        <v>2</v>
      </c>
      <c r="J61" s="4">
        <v>1035</v>
      </c>
      <c r="K61" s="3">
        <f>EOMONTH(Sales_All[[#This Row],[Date]],0)</f>
        <v>45777</v>
      </c>
      <c r="L61" s="1">
        <f>_xlfn.XLOOKUP(Sales_All[[#This Row],[Month]], Finance_Data!A:A, Finance_Data!B:B)</f>
        <v>44423</v>
      </c>
      <c r="M61" s="1">
        <f>_xlfn.XLOOKUP(Sales_All[[#This Row],[Month]], Finance_Data!A:A, Finance_Data!C:C, 0)</f>
        <v>90674</v>
      </c>
      <c r="N61" s="1">
        <f>(Sales_All[[#This Row],[Quantity]]*Sales_All[[#This Row],[UnitPrice]]) - (Sales_All[[#This Row],[Quantity]]*Sales_All[[#This Row],[UnitCost]])  - Sales_All[[#This Row],[Overheads]] -Sales_All[[#This Row],[Salaries]]</f>
        <v>-133673</v>
      </c>
      <c r="O61">
        <f>_xlfn.XLOOKUP(Sales_All[[#This Row],[OrderID]], Operations_Data!A:A, Operations_Data!B:B)</f>
        <v>8</v>
      </c>
      <c r="P61">
        <f>_xlfn.XLOOKUP(Sales_All[[#This Row],[OrderID]], Operations_Data!A:A, Operations_Data!C:C)</f>
        <v>0.04</v>
      </c>
      <c r="Q61" s="1">
        <f>Sales_All[[#This Row],[Quantity]]*Sales_All[[#This Row],[UnitPrice]]</f>
        <v>2070</v>
      </c>
      <c r="R61" s="1">
        <f>Sales_All[[#This Row],[Revenue]]*(1-Sales_All[[#This Row],[Discount]])</f>
        <v>1863</v>
      </c>
      <c r="S61" s="1">
        <f>Sales_All[[#This Row],[Revenue]] -(Sales_All[[#This Row],[Quantity]]*Sales_All[[#This Row],[UnitCost]])-Sales_All[[#This Row],[Overheads]]</f>
        <v>-42999</v>
      </c>
      <c r="T61" s="1" t="str" cm="1">
        <f t="array" ref="T61">_xlfn.IFS(Sales_All[[#This Row],[Revenue]]&gt;50000,"VIP",Sales_All[[#This Row],[Revenue]]&gt;=20000,"Regular",Sales_All[[#This Row],[Revenue]]&lt;20000,"Low Value")</f>
        <v>Low Value</v>
      </c>
      <c r="U61" s="1" t="str">
        <f>INDEX(Product_List!B:B, MATCH(Sales_All[[#This Row],[Product]], Product_List!A:A, 0))</f>
        <v>Accessories</v>
      </c>
      <c r="V61" s="1" t="str" cm="1">
        <f t="array" ref="V61">_xlfn.TEXTJOIN(", ", TRUE,IF(Sales_All[CustomerID] = Sales_All[[#This Row],[CustomerID]], Sales_All[Product], ""))</f>
        <v>Laptop, Laptop, Headphones, Monitor, Headphones, Monitor</v>
      </c>
    </row>
    <row r="62" spans="1:22" x14ac:dyDescent="0.3">
      <c r="A62" s="1" t="s">
        <v>77</v>
      </c>
      <c r="B62" s="3">
        <v>45839.827893518523</v>
      </c>
      <c r="C62" s="5" t="s">
        <v>19</v>
      </c>
      <c r="D62">
        <v>1001</v>
      </c>
      <c r="E62" s="5" t="s">
        <v>14</v>
      </c>
      <c r="F62" s="1" t="str">
        <f>_xlfn.XLOOKUP(Sales_All[[#This Row],[Product]], Product_List!A:A, Product_List!B:B,)</f>
        <v>Electronics</v>
      </c>
      <c r="G62" s="1">
        <f>_xlfn.XLOOKUP(Sales_All[[#This Row],[Product]], Product_List!A:A, Product_List!D:D)</f>
        <v>463</v>
      </c>
      <c r="H62" s="7">
        <f>_xlfn.XLOOKUP(Sales_All[[#This Row],[Product]], Product_List!A:A, Product_List!E:E)</f>
        <v>0.23</v>
      </c>
      <c r="I62" s="4">
        <v>4</v>
      </c>
      <c r="J62" s="4">
        <v>160</v>
      </c>
      <c r="K62" s="3">
        <f>EOMONTH(Sales_All[[#This Row],[Date]],0)</f>
        <v>45869</v>
      </c>
      <c r="L62" s="1">
        <f>_xlfn.XLOOKUP(Sales_All[[#This Row],[Month]], Finance_Data!A:A, Finance_Data!B:B)</f>
        <v>36304</v>
      </c>
      <c r="M62" s="1">
        <f>_xlfn.XLOOKUP(Sales_All[[#This Row],[Month]], Finance_Data!A:A, Finance_Data!C:C, 0)</f>
        <v>63297</v>
      </c>
      <c r="N62" s="1">
        <f>(Sales_All[[#This Row],[Quantity]]*Sales_All[[#This Row],[UnitPrice]]) - (Sales_All[[#This Row],[Quantity]]*Sales_All[[#This Row],[UnitCost]])  - Sales_All[[#This Row],[Overheads]] -Sales_All[[#This Row],[Salaries]]</f>
        <v>-100813</v>
      </c>
      <c r="O62">
        <f>_xlfn.XLOOKUP(Sales_All[[#This Row],[OrderID]], Operations_Data!A:A, Operations_Data!B:B)</f>
        <v>3</v>
      </c>
      <c r="P62">
        <f>_xlfn.XLOOKUP(Sales_All[[#This Row],[OrderID]], Operations_Data!A:A, Operations_Data!C:C)</f>
        <v>0.06</v>
      </c>
      <c r="Q62" s="1">
        <f>Sales_All[[#This Row],[Quantity]]*Sales_All[[#This Row],[UnitPrice]]</f>
        <v>640</v>
      </c>
      <c r="R62" s="1">
        <f>Sales_All[[#This Row],[Revenue]]*(1-Sales_All[[#This Row],[Discount]])</f>
        <v>492.8</v>
      </c>
      <c r="S62" s="1">
        <f>Sales_All[[#This Row],[Revenue]] -(Sales_All[[#This Row],[Quantity]]*Sales_All[[#This Row],[UnitCost]])-Sales_All[[#This Row],[Overheads]]</f>
        <v>-37516</v>
      </c>
      <c r="T62" s="1" t="str" cm="1">
        <f t="array" ref="T62">_xlfn.IFS(Sales_All[[#This Row],[Revenue]]&gt;50000,"VIP",Sales_All[[#This Row],[Revenue]]&gt;=20000,"Regular",Sales_All[[#This Row],[Revenue]]&lt;20000,"Low Value")</f>
        <v>Low Value</v>
      </c>
      <c r="U62" s="1" t="str">
        <f>INDEX(Product_List!B:B, MATCH(Sales_All[[#This Row],[Product]], Product_List!A:A, 0))</f>
        <v>Electronics</v>
      </c>
      <c r="V62" s="1" t="str" cm="1">
        <f t="array" ref="V62">_xlfn.TEXTJOIN(", ", TRUE,IF(Sales_All[CustomerID] = Sales_All[[#This Row],[CustomerID]], Sales_All[Product], ""))</f>
        <v>Printer, Monitor, Smartphone, Headphones, Monitor, Monitor, Laptop, Laptop</v>
      </c>
    </row>
    <row r="63" spans="1:22" x14ac:dyDescent="0.3">
      <c r="A63" s="1" t="s">
        <v>78</v>
      </c>
      <c r="B63" s="3">
        <v>45859.499537037038</v>
      </c>
      <c r="C63" s="5" t="s">
        <v>8</v>
      </c>
      <c r="D63">
        <v>1001</v>
      </c>
      <c r="E63" s="5" t="s">
        <v>14</v>
      </c>
      <c r="F63" s="1" t="str">
        <f>_xlfn.XLOOKUP(Sales_All[[#This Row],[Product]], Product_List!A:A, Product_List!B:B,)</f>
        <v>Electronics</v>
      </c>
      <c r="G63" s="1">
        <f>_xlfn.XLOOKUP(Sales_All[[#This Row],[Product]], Product_List!A:A, Product_List!D:D)</f>
        <v>463</v>
      </c>
      <c r="H63" s="7">
        <f>_xlfn.XLOOKUP(Sales_All[[#This Row],[Product]], Product_List!A:A, Product_List!E:E)</f>
        <v>0.23</v>
      </c>
      <c r="I63" s="4">
        <v>1</v>
      </c>
      <c r="J63" s="4">
        <v>233</v>
      </c>
      <c r="K63" s="3">
        <f>EOMONTH(Sales_All[[#This Row],[Date]],0)</f>
        <v>45869</v>
      </c>
      <c r="L63" s="1">
        <f>_xlfn.XLOOKUP(Sales_All[[#This Row],[Month]], Finance_Data!A:A, Finance_Data!B:B)</f>
        <v>36304</v>
      </c>
      <c r="M63" s="1">
        <f>_xlfn.XLOOKUP(Sales_All[[#This Row],[Month]], Finance_Data!A:A, Finance_Data!C:C, 0)</f>
        <v>63297</v>
      </c>
      <c r="N63" s="1">
        <f>(Sales_All[[#This Row],[Quantity]]*Sales_All[[#This Row],[UnitPrice]]) - (Sales_All[[#This Row],[Quantity]]*Sales_All[[#This Row],[UnitCost]])  - Sales_All[[#This Row],[Overheads]] -Sales_All[[#This Row],[Salaries]]</f>
        <v>-99831</v>
      </c>
      <c r="O63">
        <f>_xlfn.XLOOKUP(Sales_All[[#This Row],[OrderID]], Operations_Data!A:A, Operations_Data!B:B)</f>
        <v>4</v>
      </c>
      <c r="P63">
        <f>_xlfn.XLOOKUP(Sales_All[[#This Row],[OrderID]], Operations_Data!A:A, Operations_Data!C:C)</f>
        <v>7.0000000000000007E-2</v>
      </c>
      <c r="Q63" s="1">
        <f>Sales_All[[#This Row],[Quantity]]*Sales_All[[#This Row],[UnitPrice]]</f>
        <v>233</v>
      </c>
      <c r="R63" s="1">
        <f>Sales_All[[#This Row],[Revenue]]*(1-Sales_All[[#This Row],[Discount]])</f>
        <v>179.41</v>
      </c>
      <c r="S63" s="1">
        <f>Sales_All[[#This Row],[Revenue]] -(Sales_All[[#This Row],[Quantity]]*Sales_All[[#This Row],[UnitCost]])-Sales_All[[#This Row],[Overheads]]</f>
        <v>-36534</v>
      </c>
      <c r="T63" s="1" t="str" cm="1">
        <f t="array" ref="T63">_xlfn.IFS(Sales_All[[#This Row],[Revenue]]&gt;50000,"VIP",Sales_All[[#This Row],[Revenue]]&gt;=20000,"Regular",Sales_All[[#This Row],[Revenue]]&lt;20000,"Low Value")</f>
        <v>Low Value</v>
      </c>
      <c r="U63" s="1" t="str">
        <f>INDEX(Product_List!B:B, MATCH(Sales_All[[#This Row],[Product]], Product_List!A:A, 0))</f>
        <v>Electronics</v>
      </c>
      <c r="V63" s="1" t="str" cm="1">
        <f t="array" ref="V63">_xlfn.TEXTJOIN(", ", TRUE,IF(Sales_All[CustomerID] = Sales_All[[#This Row],[CustomerID]], Sales_All[Product], ""))</f>
        <v>Printer, Monitor, Smartphone, Headphones, Monitor, Monitor, Laptop, Laptop</v>
      </c>
    </row>
    <row r="64" spans="1:22" x14ac:dyDescent="0.3">
      <c r="A64" s="1" t="s">
        <v>79</v>
      </c>
      <c r="B64" s="3">
        <v>45894.505104166667</v>
      </c>
      <c r="C64" s="5" t="s">
        <v>13</v>
      </c>
      <c r="D64">
        <v>1010</v>
      </c>
      <c r="E64" s="5" t="s">
        <v>17</v>
      </c>
      <c r="F64" s="1" t="str">
        <f>_xlfn.XLOOKUP(Sales_All[[#This Row],[Product]], Product_List!A:A, Product_List!B:B,)</f>
        <v>Electronics</v>
      </c>
      <c r="G64" s="1">
        <f>_xlfn.XLOOKUP(Sales_All[[#This Row],[Product]], Product_List!A:A, Product_List!D:D)</f>
        <v>97</v>
      </c>
      <c r="H64" s="7">
        <f>_xlfn.XLOOKUP(Sales_All[[#This Row],[Product]], Product_List!A:A, Product_List!E:E)</f>
        <v>0.08</v>
      </c>
      <c r="I64" s="4">
        <v>9</v>
      </c>
      <c r="J64" s="4">
        <v>312</v>
      </c>
      <c r="K64" s="3">
        <f>EOMONTH(Sales_All[[#This Row],[Date]],0)</f>
        <v>45900</v>
      </c>
      <c r="L64" s="1">
        <f>_xlfn.XLOOKUP(Sales_All[[#This Row],[Month]], Finance_Data!A:A, Finance_Data!B:B)</f>
        <v>36734</v>
      </c>
      <c r="M64" s="1">
        <f>_xlfn.XLOOKUP(Sales_All[[#This Row],[Month]], Finance_Data!A:A, Finance_Data!C:C, 0)</f>
        <v>93760</v>
      </c>
      <c r="N64" s="1">
        <f>(Sales_All[[#This Row],[Quantity]]*Sales_All[[#This Row],[UnitPrice]]) - (Sales_All[[#This Row],[Quantity]]*Sales_All[[#This Row],[UnitCost]])  - Sales_All[[#This Row],[Overheads]] -Sales_All[[#This Row],[Salaries]]</f>
        <v>-128559</v>
      </c>
      <c r="O64">
        <f>_xlfn.XLOOKUP(Sales_All[[#This Row],[OrderID]], Operations_Data!A:A, Operations_Data!B:B)</f>
        <v>6</v>
      </c>
      <c r="P64">
        <f>_xlfn.XLOOKUP(Sales_All[[#This Row],[OrderID]], Operations_Data!A:A, Operations_Data!C:C)</f>
        <v>0.05</v>
      </c>
      <c r="Q64" s="1">
        <f>Sales_All[[#This Row],[Quantity]]*Sales_All[[#This Row],[UnitPrice]]</f>
        <v>2808</v>
      </c>
      <c r="R64" s="1">
        <f>Sales_All[[#This Row],[Revenue]]*(1-Sales_All[[#This Row],[Discount]])</f>
        <v>2583.36</v>
      </c>
      <c r="S64" s="1">
        <f>Sales_All[[#This Row],[Revenue]] -(Sales_All[[#This Row],[Quantity]]*Sales_All[[#This Row],[UnitCost]])-Sales_All[[#This Row],[Overheads]]</f>
        <v>-34799</v>
      </c>
      <c r="T64" s="1" t="str" cm="1">
        <f t="array" ref="T64">_xlfn.IFS(Sales_All[[#This Row],[Revenue]]&gt;50000,"VIP",Sales_All[[#This Row],[Revenue]]&gt;=20000,"Regular",Sales_All[[#This Row],[Revenue]]&lt;20000,"Low Value")</f>
        <v>Low Value</v>
      </c>
      <c r="U64" s="1" t="str">
        <f>INDEX(Product_List!B:B, MATCH(Sales_All[[#This Row],[Product]], Product_List!A:A, 0))</f>
        <v>Electronics</v>
      </c>
      <c r="V64" s="1" t="str" cm="1">
        <f t="array" ref="V64">_xlfn.TEXTJOIN(", ", TRUE,IF(Sales_All[CustomerID] = Sales_All[[#This Row],[CustomerID]], Sales_All[Product], ""))</f>
        <v>Headphones, Headphones, Smartphone, Monitor, Printer, Printer, Smartphone</v>
      </c>
    </row>
    <row r="65" spans="1:22" x14ac:dyDescent="0.3">
      <c r="A65" s="1" t="s">
        <v>80</v>
      </c>
      <c r="B65" s="3">
        <v>45844.2341087963</v>
      </c>
      <c r="C65" s="5" t="s">
        <v>16</v>
      </c>
      <c r="D65">
        <v>1019</v>
      </c>
      <c r="E65" s="5" t="s">
        <v>20</v>
      </c>
      <c r="F65" s="1" t="str">
        <f>_xlfn.XLOOKUP(Sales_All[[#This Row],[Product]], Product_List!A:A, Product_List!B:B,)</f>
        <v>Electronics</v>
      </c>
      <c r="G65" s="1">
        <f>_xlfn.XLOOKUP(Sales_All[[#This Row],[Product]], Product_List!A:A, Product_List!D:D)</f>
        <v>469</v>
      </c>
      <c r="H65" s="7">
        <f>_xlfn.XLOOKUP(Sales_All[[#This Row],[Product]], Product_List!A:A, Product_List!E:E)</f>
        <v>0.22</v>
      </c>
      <c r="I65" s="4">
        <v>3</v>
      </c>
      <c r="J65" s="4">
        <v>603</v>
      </c>
      <c r="K65" s="3">
        <f>EOMONTH(Sales_All[[#This Row],[Date]],0)</f>
        <v>45869</v>
      </c>
      <c r="L65" s="1">
        <f>_xlfn.XLOOKUP(Sales_All[[#This Row],[Month]], Finance_Data!A:A, Finance_Data!B:B)</f>
        <v>36304</v>
      </c>
      <c r="M65" s="1">
        <f>_xlfn.XLOOKUP(Sales_All[[#This Row],[Month]], Finance_Data!A:A, Finance_Data!C:C, 0)</f>
        <v>63297</v>
      </c>
      <c r="N65" s="1">
        <f>(Sales_All[[#This Row],[Quantity]]*Sales_All[[#This Row],[UnitPrice]]) - (Sales_All[[#This Row],[Quantity]]*Sales_All[[#This Row],[UnitCost]])  - Sales_All[[#This Row],[Overheads]] -Sales_All[[#This Row],[Salaries]]</f>
        <v>-99199</v>
      </c>
      <c r="O65">
        <f>_xlfn.XLOOKUP(Sales_All[[#This Row],[OrderID]], Operations_Data!A:A, Operations_Data!B:B)</f>
        <v>5</v>
      </c>
      <c r="P65">
        <f>_xlfn.XLOOKUP(Sales_All[[#This Row],[OrderID]], Operations_Data!A:A, Operations_Data!C:C)</f>
        <v>0.03</v>
      </c>
      <c r="Q65" s="1">
        <f>Sales_All[[#This Row],[Quantity]]*Sales_All[[#This Row],[UnitPrice]]</f>
        <v>1809</v>
      </c>
      <c r="R65" s="1">
        <f>Sales_All[[#This Row],[Revenue]]*(1-Sales_All[[#This Row],[Discount]])</f>
        <v>1411.02</v>
      </c>
      <c r="S65" s="1">
        <f>Sales_All[[#This Row],[Revenue]] -(Sales_All[[#This Row],[Quantity]]*Sales_All[[#This Row],[UnitCost]])-Sales_All[[#This Row],[Overheads]]</f>
        <v>-35902</v>
      </c>
      <c r="T65" s="1" t="str" cm="1">
        <f t="array" ref="T65">_xlfn.IFS(Sales_All[[#This Row],[Revenue]]&gt;50000,"VIP",Sales_All[[#This Row],[Revenue]]&gt;=20000,"Regular",Sales_All[[#This Row],[Revenue]]&lt;20000,"Low Value")</f>
        <v>Low Value</v>
      </c>
      <c r="U65" s="1" t="str">
        <f>INDEX(Product_List!B:B, MATCH(Sales_All[[#This Row],[Product]], Product_List!A:A, 0))</f>
        <v>Electronics</v>
      </c>
      <c r="V65" s="1" t="str" cm="1">
        <f t="array" ref="V65">_xlfn.TEXTJOIN(", ", TRUE,IF(Sales_All[CustomerID] = Sales_All[[#This Row],[CustomerID]], Sales_All[Product], ""))</f>
        <v>Laptop, Laptop, Headphones, Laptop, Tablet, Tablet, Monitor</v>
      </c>
    </row>
    <row r="66" spans="1:22" x14ac:dyDescent="0.3">
      <c r="A66" s="1" t="s">
        <v>81</v>
      </c>
      <c r="B66" s="3">
        <v>45850.673425925917</v>
      </c>
      <c r="C66" s="5" t="s">
        <v>8</v>
      </c>
      <c r="D66">
        <v>1006</v>
      </c>
      <c r="E66" s="5" t="s">
        <v>14</v>
      </c>
      <c r="F66" s="1" t="str">
        <f>_xlfn.XLOOKUP(Sales_All[[#This Row],[Product]], Product_List!A:A, Product_List!B:B,)</f>
        <v>Electronics</v>
      </c>
      <c r="G66" s="1">
        <f>_xlfn.XLOOKUP(Sales_All[[#This Row],[Product]], Product_List!A:A, Product_List!D:D)</f>
        <v>463</v>
      </c>
      <c r="H66" s="7">
        <f>_xlfn.XLOOKUP(Sales_All[[#This Row],[Product]], Product_List!A:A, Product_List!E:E)</f>
        <v>0.23</v>
      </c>
      <c r="I66" s="4">
        <v>8</v>
      </c>
      <c r="J66" s="4">
        <v>1987</v>
      </c>
      <c r="K66" s="3">
        <f>EOMONTH(Sales_All[[#This Row],[Date]],0)</f>
        <v>45869</v>
      </c>
      <c r="L66" s="1">
        <f>_xlfn.XLOOKUP(Sales_All[[#This Row],[Month]], Finance_Data!A:A, Finance_Data!B:B)</f>
        <v>36304</v>
      </c>
      <c r="M66" s="1">
        <f>_xlfn.XLOOKUP(Sales_All[[#This Row],[Month]], Finance_Data!A:A, Finance_Data!C:C, 0)</f>
        <v>63297</v>
      </c>
      <c r="N66" s="1">
        <f>(Sales_All[[#This Row],[Quantity]]*Sales_All[[#This Row],[UnitPrice]]) - (Sales_All[[#This Row],[Quantity]]*Sales_All[[#This Row],[UnitCost]])  - Sales_All[[#This Row],[Overheads]] -Sales_All[[#This Row],[Salaries]]</f>
        <v>-87409</v>
      </c>
      <c r="O66">
        <f>_xlfn.XLOOKUP(Sales_All[[#This Row],[OrderID]], Operations_Data!A:A, Operations_Data!B:B)</f>
        <v>3</v>
      </c>
      <c r="P66">
        <f>_xlfn.XLOOKUP(Sales_All[[#This Row],[OrderID]], Operations_Data!A:A, Operations_Data!C:C)</f>
        <v>0.06</v>
      </c>
      <c r="Q66" s="1">
        <f>Sales_All[[#This Row],[Quantity]]*Sales_All[[#This Row],[UnitPrice]]</f>
        <v>15896</v>
      </c>
      <c r="R66" s="1">
        <f>Sales_All[[#This Row],[Revenue]]*(1-Sales_All[[#This Row],[Discount]])</f>
        <v>12239.92</v>
      </c>
      <c r="S66" s="1">
        <f>Sales_All[[#This Row],[Revenue]] -(Sales_All[[#This Row],[Quantity]]*Sales_All[[#This Row],[UnitCost]])-Sales_All[[#This Row],[Overheads]]</f>
        <v>-24112</v>
      </c>
      <c r="T66" s="1" t="str" cm="1">
        <f t="array" ref="T66">_xlfn.IFS(Sales_All[[#This Row],[Revenue]]&gt;50000,"VIP",Sales_All[[#This Row],[Revenue]]&gt;=20000,"Regular",Sales_All[[#This Row],[Revenue]]&lt;20000,"Low Value")</f>
        <v>Low Value</v>
      </c>
      <c r="U66" s="1" t="str">
        <f>INDEX(Product_List!B:B, MATCH(Sales_All[[#This Row],[Product]], Product_List!A:A, 0))</f>
        <v>Electronics</v>
      </c>
      <c r="V66" s="1" t="str" cm="1">
        <f t="array" ref="V66">_xlfn.TEXTJOIN(", ", TRUE,IF(Sales_All[CustomerID] = Sales_All[[#This Row],[CustomerID]], Sales_All[Product], ""))</f>
        <v>Laptop, Laptop, Headphones, Monitor, Headphones, Monitor</v>
      </c>
    </row>
    <row r="67" spans="1:22" x14ac:dyDescent="0.3">
      <c r="A67" s="1" t="s">
        <v>82</v>
      </c>
      <c r="B67" s="3">
        <v>45891.79111111111</v>
      </c>
      <c r="C67" s="5" t="s">
        <v>19</v>
      </c>
      <c r="D67">
        <v>1008</v>
      </c>
      <c r="E67" s="5" t="s">
        <v>20</v>
      </c>
      <c r="F67" s="1" t="str">
        <f>_xlfn.XLOOKUP(Sales_All[[#This Row],[Product]], Product_List!A:A, Product_List!B:B,)</f>
        <v>Electronics</v>
      </c>
      <c r="G67" s="1">
        <f>_xlfn.XLOOKUP(Sales_All[[#This Row],[Product]], Product_List!A:A, Product_List!D:D)</f>
        <v>469</v>
      </c>
      <c r="H67" s="7">
        <f>_xlfn.XLOOKUP(Sales_All[[#This Row],[Product]], Product_List!A:A, Product_List!E:E)</f>
        <v>0.22</v>
      </c>
      <c r="I67" s="4">
        <v>3</v>
      </c>
      <c r="J67" s="4">
        <v>589</v>
      </c>
      <c r="K67" s="3">
        <f>EOMONTH(Sales_All[[#This Row],[Date]],0)</f>
        <v>45900</v>
      </c>
      <c r="L67" s="1">
        <f>_xlfn.XLOOKUP(Sales_All[[#This Row],[Month]], Finance_Data!A:A, Finance_Data!B:B)</f>
        <v>36734</v>
      </c>
      <c r="M67" s="1">
        <f>_xlfn.XLOOKUP(Sales_All[[#This Row],[Month]], Finance_Data!A:A, Finance_Data!C:C, 0)</f>
        <v>93760</v>
      </c>
      <c r="N67" s="1">
        <f>(Sales_All[[#This Row],[Quantity]]*Sales_All[[#This Row],[UnitPrice]]) - (Sales_All[[#This Row],[Quantity]]*Sales_All[[#This Row],[UnitCost]])  - Sales_All[[#This Row],[Overheads]] -Sales_All[[#This Row],[Salaries]]</f>
        <v>-130134</v>
      </c>
      <c r="O67">
        <f>_xlfn.XLOOKUP(Sales_All[[#This Row],[OrderID]], Operations_Data!A:A, Operations_Data!B:B)</f>
        <v>5</v>
      </c>
      <c r="P67">
        <f>_xlfn.XLOOKUP(Sales_All[[#This Row],[OrderID]], Operations_Data!A:A, Operations_Data!C:C)</f>
        <v>0.04</v>
      </c>
      <c r="Q67" s="1">
        <f>Sales_All[[#This Row],[Quantity]]*Sales_All[[#This Row],[UnitPrice]]</f>
        <v>1767</v>
      </c>
      <c r="R67" s="1">
        <f>Sales_All[[#This Row],[Revenue]]*(1-Sales_All[[#This Row],[Discount]])</f>
        <v>1378.26</v>
      </c>
      <c r="S67" s="1">
        <f>Sales_All[[#This Row],[Revenue]] -(Sales_All[[#This Row],[Quantity]]*Sales_All[[#This Row],[UnitCost]])-Sales_All[[#This Row],[Overheads]]</f>
        <v>-36374</v>
      </c>
      <c r="T67" s="1" t="str" cm="1">
        <f t="array" ref="T67">_xlfn.IFS(Sales_All[[#This Row],[Revenue]]&gt;50000,"VIP",Sales_All[[#This Row],[Revenue]]&gt;=20000,"Regular",Sales_All[[#This Row],[Revenue]]&lt;20000,"Low Value")</f>
        <v>Low Value</v>
      </c>
      <c r="U67" s="1" t="str">
        <f>INDEX(Product_List!B:B, MATCH(Sales_All[[#This Row],[Product]], Product_List!A:A, 0))</f>
        <v>Electronics</v>
      </c>
      <c r="V67" s="1" t="str" cm="1">
        <f t="array" ref="V67">_xlfn.TEXTJOIN(", ", TRUE,IF(Sales_All[CustomerID] = Sales_All[[#This Row],[CustomerID]], Sales_All[Product], ""))</f>
        <v>Smartphone, Headphones, Laptop</v>
      </c>
    </row>
    <row r="68" spans="1:22" x14ac:dyDescent="0.3">
      <c r="A68" s="1" t="s">
        <v>83</v>
      </c>
      <c r="B68" s="3">
        <v>45886.32172453704</v>
      </c>
      <c r="C68" s="5" t="s">
        <v>16</v>
      </c>
      <c r="D68">
        <v>1006</v>
      </c>
      <c r="E68" s="5" t="s">
        <v>11</v>
      </c>
      <c r="F68" s="1" t="str">
        <f>_xlfn.XLOOKUP(Sales_All[[#This Row],[Product]], Product_List!A:A, Product_List!B:B,)</f>
        <v>Accessories</v>
      </c>
      <c r="G68" s="1">
        <f>_xlfn.XLOOKUP(Sales_All[[#This Row],[Product]], Product_List!A:A, Product_List!D:D)</f>
        <v>323</v>
      </c>
      <c r="H68" s="7">
        <f>_xlfn.XLOOKUP(Sales_All[[#This Row],[Product]], Product_List!A:A, Product_List!E:E)</f>
        <v>0.1</v>
      </c>
      <c r="I68" s="4">
        <v>2</v>
      </c>
      <c r="J68" s="4">
        <v>1742</v>
      </c>
      <c r="K68" s="3">
        <f>EOMONTH(Sales_All[[#This Row],[Date]],0)</f>
        <v>45900</v>
      </c>
      <c r="L68" s="1">
        <f>_xlfn.XLOOKUP(Sales_All[[#This Row],[Month]], Finance_Data!A:A, Finance_Data!B:B)</f>
        <v>36734</v>
      </c>
      <c r="M68" s="1">
        <f>_xlfn.XLOOKUP(Sales_All[[#This Row],[Month]], Finance_Data!A:A, Finance_Data!C:C, 0)</f>
        <v>93760</v>
      </c>
      <c r="N68" s="1">
        <f>(Sales_All[[#This Row],[Quantity]]*Sales_All[[#This Row],[UnitPrice]]) - (Sales_All[[#This Row],[Quantity]]*Sales_All[[#This Row],[UnitCost]])  - Sales_All[[#This Row],[Overheads]] -Sales_All[[#This Row],[Salaries]]</f>
        <v>-127656</v>
      </c>
      <c r="O68">
        <f>_xlfn.XLOOKUP(Sales_All[[#This Row],[OrderID]], Operations_Data!A:A, Operations_Data!B:B)</f>
        <v>4</v>
      </c>
      <c r="P68">
        <f>_xlfn.XLOOKUP(Sales_All[[#This Row],[OrderID]], Operations_Data!A:A, Operations_Data!C:C)</f>
        <v>0.04</v>
      </c>
      <c r="Q68" s="1">
        <f>Sales_All[[#This Row],[Quantity]]*Sales_All[[#This Row],[UnitPrice]]</f>
        <v>3484</v>
      </c>
      <c r="R68" s="1">
        <f>Sales_All[[#This Row],[Revenue]]*(1-Sales_All[[#This Row],[Discount]])</f>
        <v>3135.6</v>
      </c>
      <c r="S68" s="1">
        <f>Sales_All[[#This Row],[Revenue]] -(Sales_All[[#This Row],[Quantity]]*Sales_All[[#This Row],[UnitCost]])-Sales_All[[#This Row],[Overheads]]</f>
        <v>-33896</v>
      </c>
      <c r="T68" s="1" t="str" cm="1">
        <f t="array" ref="T68">_xlfn.IFS(Sales_All[[#This Row],[Revenue]]&gt;50000,"VIP",Sales_All[[#This Row],[Revenue]]&gt;=20000,"Regular",Sales_All[[#This Row],[Revenue]]&lt;20000,"Low Value")</f>
        <v>Low Value</v>
      </c>
      <c r="U68" s="1" t="str">
        <f>INDEX(Product_List!B:B, MATCH(Sales_All[[#This Row],[Product]], Product_List!A:A, 0))</f>
        <v>Accessories</v>
      </c>
      <c r="V68" s="1" t="str" cm="1">
        <f t="array" ref="V68">_xlfn.TEXTJOIN(", ", TRUE,IF(Sales_All[CustomerID] = Sales_All[[#This Row],[CustomerID]], Sales_All[Product], ""))</f>
        <v>Laptop, Laptop, Headphones, Monitor, Headphones, Monitor</v>
      </c>
    </row>
    <row r="69" spans="1:22" x14ac:dyDescent="0.3">
      <c r="A69" s="1" t="s">
        <v>84</v>
      </c>
      <c r="B69" s="3">
        <v>45857.334780092591</v>
      </c>
      <c r="C69" s="5" t="s">
        <v>8</v>
      </c>
      <c r="D69">
        <v>1015</v>
      </c>
      <c r="E69" s="5" t="s">
        <v>17</v>
      </c>
      <c r="F69" s="1" t="str">
        <f>_xlfn.XLOOKUP(Sales_All[[#This Row],[Product]], Product_List!A:A, Product_List!B:B,)</f>
        <v>Electronics</v>
      </c>
      <c r="G69" s="1">
        <f>_xlfn.XLOOKUP(Sales_All[[#This Row],[Product]], Product_List!A:A, Product_List!D:D)</f>
        <v>97</v>
      </c>
      <c r="H69" s="7">
        <f>_xlfn.XLOOKUP(Sales_All[[#This Row],[Product]], Product_List!A:A, Product_List!E:E)</f>
        <v>0.08</v>
      </c>
      <c r="I69" s="4">
        <v>4</v>
      </c>
      <c r="J69" s="4">
        <v>1461</v>
      </c>
      <c r="K69" s="3">
        <f>EOMONTH(Sales_All[[#This Row],[Date]],0)</f>
        <v>45869</v>
      </c>
      <c r="L69" s="1">
        <f>_xlfn.XLOOKUP(Sales_All[[#This Row],[Month]], Finance_Data!A:A, Finance_Data!B:B)</f>
        <v>36304</v>
      </c>
      <c r="M69" s="1">
        <f>_xlfn.XLOOKUP(Sales_All[[#This Row],[Month]], Finance_Data!A:A, Finance_Data!C:C, 0)</f>
        <v>63297</v>
      </c>
      <c r="N69" s="1">
        <f>(Sales_All[[#This Row],[Quantity]]*Sales_All[[#This Row],[UnitPrice]]) - (Sales_All[[#This Row],[Quantity]]*Sales_All[[#This Row],[UnitCost]])  - Sales_All[[#This Row],[Overheads]] -Sales_All[[#This Row],[Salaries]]</f>
        <v>-94145</v>
      </c>
      <c r="O69">
        <f>_xlfn.XLOOKUP(Sales_All[[#This Row],[OrderID]], Operations_Data!A:A, Operations_Data!B:B)</f>
        <v>8</v>
      </c>
      <c r="P69">
        <f>_xlfn.XLOOKUP(Sales_All[[#This Row],[OrderID]], Operations_Data!A:A, Operations_Data!C:C)</f>
        <v>0.03</v>
      </c>
      <c r="Q69" s="1">
        <f>Sales_All[[#This Row],[Quantity]]*Sales_All[[#This Row],[UnitPrice]]</f>
        <v>5844</v>
      </c>
      <c r="R69" s="1">
        <f>Sales_All[[#This Row],[Revenue]]*(1-Sales_All[[#This Row],[Discount]])</f>
        <v>5376.4800000000005</v>
      </c>
      <c r="S69" s="1">
        <f>Sales_All[[#This Row],[Revenue]] -(Sales_All[[#This Row],[Quantity]]*Sales_All[[#This Row],[UnitCost]])-Sales_All[[#This Row],[Overheads]]</f>
        <v>-30848</v>
      </c>
      <c r="T69" s="1" t="str" cm="1">
        <f t="array" ref="T69">_xlfn.IFS(Sales_All[[#This Row],[Revenue]]&gt;50000,"VIP",Sales_All[[#This Row],[Revenue]]&gt;=20000,"Regular",Sales_All[[#This Row],[Revenue]]&lt;20000,"Low Value")</f>
        <v>Low Value</v>
      </c>
      <c r="U69" s="1" t="str">
        <f>INDEX(Product_List!B:B, MATCH(Sales_All[[#This Row],[Product]], Product_List!A:A, 0))</f>
        <v>Electronics</v>
      </c>
      <c r="V69" s="1" t="str" cm="1">
        <f t="array" ref="V69">_xlfn.TEXTJOIN(", ", TRUE,IF(Sales_All[CustomerID] = Sales_All[[#This Row],[CustomerID]], Sales_All[Product], ""))</f>
        <v>Smartphone, Smartphone</v>
      </c>
    </row>
    <row r="70" spans="1:22" x14ac:dyDescent="0.3">
      <c r="A70" s="1" t="s">
        <v>85</v>
      </c>
      <c r="B70" s="3">
        <v>45914.314293981479</v>
      </c>
      <c r="C70" s="5" t="s">
        <v>8</v>
      </c>
      <c r="D70">
        <v>1002</v>
      </c>
      <c r="E70" s="5" t="s">
        <v>20</v>
      </c>
      <c r="F70" s="1" t="str">
        <f>_xlfn.XLOOKUP(Sales_All[[#This Row],[Product]], Product_List!A:A, Product_List!B:B,)</f>
        <v>Electronics</v>
      </c>
      <c r="G70" s="1">
        <f>_xlfn.XLOOKUP(Sales_All[[#This Row],[Product]], Product_List!A:A, Product_List!D:D)</f>
        <v>469</v>
      </c>
      <c r="H70" s="7">
        <f>_xlfn.XLOOKUP(Sales_All[[#This Row],[Product]], Product_List!A:A, Product_List!E:E)</f>
        <v>0.22</v>
      </c>
      <c r="I70" s="4">
        <v>3</v>
      </c>
      <c r="J70" s="4">
        <v>1133</v>
      </c>
      <c r="K70" s="3">
        <f>EOMONTH(Sales_All[[#This Row],[Date]],0)</f>
        <v>45930</v>
      </c>
      <c r="L70" s="1">
        <f>_xlfn.XLOOKUP(Sales_All[[#This Row],[Month]], Finance_Data!A:A, Finance_Data!B:B)</f>
        <v>34260</v>
      </c>
      <c r="M70" s="1">
        <f>_xlfn.XLOOKUP(Sales_All[[#This Row],[Month]], Finance_Data!A:A, Finance_Data!C:C, 0)</f>
        <v>70760</v>
      </c>
      <c r="N70" s="1">
        <f>(Sales_All[[#This Row],[Quantity]]*Sales_All[[#This Row],[UnitPrice]]) - (Sales_All[[#This Row],[Quantity]]*Sales_All[[#This Row],[UnitCost]])  - Sales_All[[#This Row],[Overheads]] -Sales_All[[#This Row],[Salaries]]</f>
        <v>-103028</v>
      </c>
      <c r="O70">
        <f>_xlfn.XLOOKUP(Sales_All[[#This Row],[OrderID]], Operations_Data!A:A, Operations_Data!B:B)</f>
        <v>1</v>
      </c>
      <c r="P70">
        <f>_xlfn.XLOOKUP(Sales_All[[#This Row],[OrderID]], Operations_Data!A:A, Operations_Data!C:C)</f>
        <v>0.02</v>
      </c>
      <c r="Q70" s="1">
        <f>Sales_All[[#This Row],[Quantity]]*Sales_All[[#This Row],[UnitPrice]]</f>
        <v>3399</v>
      </c>
      <c r="R70" s="1">
        <f>Sales_All[[#This Row],[Revenue]]*(1-Sales_All[[#This Row],[Discount]])</f>
        <v>2651.2200000000003</v>
      </c>
      <c r="S70" s="1">
        <f>Sales_All[[#This Row],[Revenue]] -(Sales_All[[#This Row],[Quantity]]*Sales_All[[#This Row],[UnitCost]])-Sales_All[[#This Row],[Overheads]]</f>
        <v>-32268</v>
      </c>
      <c r="T70" s="1" t="str" cm="1">
        <f t="array" ref="T70">_xlfn.IFS(Sales_All[[#This Row],[Revenue]]&gt;50000,"VIP",Sales_All[[#This Row],[Revenue]]&gt;=20000,"Regular",Sales_All[[#This Row],[Revenue]]&lt;20000,"Low Value")</f>
        <v>Low Value</v>
      </c>
      <c r="U70" s="1" t="str">
        <f>INDEX(Product_List!B:B, MATCH(Sales_All[[#This Row],[Product]], Product_List!A:A, 0))</f>
        <v>Electronics</v>
      </c>
      <c r="V70" s="1" t="str" cm="1">
        <f t="array" ref="V70">_xlfn.TEXTJOIN(", ", TRUE,IF(Sales_All[CustomerID] = Sales_All[[#This Row],[CustomerID]], Sales_All[Product], ""))</f>
        <v>Tablet, Laptop, Headphones, Laptop</v>
      </c>
    </row>
    <row r="71" spans="1:22" x14ac:dyDescent="0.3">
      <c r="A71" s="1" t="s">
        <v>86</v>
      </c>
      <c r="B71" s="3">
        <v>45926.581597222219</v>
      </c>
      <c r="C71" s="5" t="s">
        <v>16</v>
      </c>
      <c r="D71">
        <v>1018</v>
      </c>
      <c r="E71" s="5" t="s">
        <v>14</v>
      </c>
      <c r="F71" s="1" t="str">
        <f>_xlfn.XLOOKUP(Sales_All[[#This Row],[Product]], Product_List!A:A, Product_List!B:B,)</f>
        <v>Electronics</v>
      </c>
      <c r="G71" s="1">
        <f>_xlfn.XLOOKUP(Sales_All[[#This Row],[Product]], Product_List!A:A, Product_List!D:D)</f>
        <v>463</v>
      </c>
      <c r="H71" s="7">
        <f>_xlfn.XLOOKUP(Sales_All[[#This Row],[Product]], Product_List!A:A, Product_List!E:E)</f>
        <v>0.23</v>
      </c>
      <c r="I71" s="4">
        <v>5</v>
      </c>
      <c r="J71" s="4">
        <v>644</v>
      </c>
      <c r="K71" s="3">
        <f>EOMONTH(Sales_All[[#This Row],[Date]],0)</f>
        <v>45930</v>
      </c>
      <c r="L71" s="1">
        <f>_xlfn.XLOOKUP(Sales_All[[#This Row],[Month]], Finance_Data!A:A, Finance_Data!B:B)</f>
        <v>34260</v>
      </c>
      <c r="M71" s="1">
        <f>_xlfn.XLOOKUP(Sales_All[[#This Row],[Month]], Finance_Data!A:A, Finance_Data!C:C, 0)</f>
        <v>70760</v>
      </c>
      <c r="N71" s="1">
        <f>(Sales_All[[#This Row],[Quantity]]*Sales_All[[#This Row],[UnitPrice]]) - (Sales_All[[#This Row],[Quantity]]*Sales_All[[#This Row],[UnitCost]])  - Sales_All[[#This Row],[Overheads]] -Sales_All[[#This Row],[Salaries]]</f>
        <v>-104115</v>
      </c>
      <c r="O71">
        <f>_xlfn.XLOOKUP(Sales_All[[#This Row],[OrderID]], Operations_Data!A:A, Operations_Data!B:B)</f>
        <v>1</v>
      </c>
      <c r="P71">
        <f>_xlfn.XLOOKUP(Sales_All[[#This Row],[OrderID]], Operations_Data!A:A, Operations_Data!C:C)</f>
        <v>0.05</v>
      </c>
      <c r="Q71" s="1">
        <f>Sales_All[[#This Row],[Quantity]]*Sales_All[[#This Row],[UnitPrice]]</f>
        <v>3220</v>
      </c>
      <c r="R71" s="1">
        <f>Sales_All[[#This Row],[Revenue]]*(1-Sales_All[[#This Row],[Discount]])</f>
        <v>2479.4</v>
      </c>
      <c r="S71" s="1">
        <f>Sales_All[[#This Row],[Revenue]] -(Sales_All[[#This Row],[Quantity]]*Sales_All[[#This Row],[UnitCost]])-Sales_All[[#This Row],[Overheads]]</f>
        <v>-33355</v>
      </c>
      <c r="T71" s="1" t="str" cm="1">
        <f t="array" ref="T71">_xlfn.IFS(Sales_All[[#This Row],[Revenue]]&gt;50000,"VIP",Sales_All[[#This Row],[Revenue]]&gt;=20000,"Regular",Sales_All[[#This Row],[Revenue]]&lt;20000,"Low Value")</f>
        <v>Low Value</v>
      </c>
      <c r="U71" s="1" t="str">
        <f>INDEX(Product_List!B:B, MATCH(Sales_All[[#This Row],[Product]], Product_List!A:A, 0))</f>
        <v>Electronics</v>
      </c>
      <c r="V71" s="1" t="str" cm="1">
        <f t="array" ref="V71">_xlfn.TEXTJOIN(", ", TRUE,IF(Sales_All[CustomerID] = Sales_All[[#This Row],[CustomerID]], Sales_All[Product], ""))</f>
        <v>Tablet, Smartphone, Headphones, Headphones, Monitor, Laptop</v>
      </c>
    </row>
    <row r="72" spans="1:22" x14ac:dyDescent="0.3">
      <c r="A72" s="1" t="s">
        <v>87</v>
      </c>
      <c r="B72" s="3">
        <v>45897.155312499999</v>
      </c>
      <c r="C72" s="5" t="s">
        <v>19</v>
      </c>
      <c r="D72">
        <v>1002</v>
      </c>
      <c r="E72" s="5" t="s">
        <v>11</v>
      </c>
      <c r="F72" s="1" t="str">
        <f>_xlfn.XLOOKUP(Sales_All[[#This Row],[Product]], Product_List!A:A, Product_List!B:B,)</f>
        <v>Accessories</v>
      </c>
      <c r="G72" s="1">
        <f>_xlfn.XLOOKUP(Sales_All[[#This Row],[Product]], Product_List!A:A, Product_List!D:D)</f>
        <v>323</v>
      </c>
      <c r="H72" s="7">
        <f>_xlfn.XLOOKUP(Sales_All[[#This Row],[Product]], Product_List!A:A, Product_List!E:E)</f>
        <v>0.1</v>
      </c>
      <c r="I72" s="4">
        <v>2</v>
      </c>
      <c r="J72" s="4">
        <v>1265</v>
      </c>
      <c r="K72" s="3">
        <f>EOMONTH(Sales_All[[#This Row],[Date]],0)</f>
        <v>45900</v>
      </c>
      <c r="L72" s="1">
        <f>_xlfn.XLOOKUP(Sales_All[[#This Row],[Month]], Finance_Data!A:A, Finance_Data!B:B)</f>
        <v>36734</v>
      </c>
      <c r="M72" s="1">
        <f>_xlfn.XLOOKUP(Sales_All[[#This Row],[Month]], Finance_Data!A:A, Finance_Data!C:C, 0)</f>
        <v>93760</v>
      </c>
      <c r="N72" s="1">
        <f>(Sales_All[[#This Row],[Quantity]]*Sales_All[[#This Row],[UnitPrice]]) - (Sales_All[[#This Row],[Quantity]]*Sales_All[[#This Row],[UnitCost]])  - Sales_All[[#This Row],[Overheads]] -Sales_All[[#This Row],[Salaries]]</f>
        <v>-128610</v>
      </c>
      <c r="O72">
        <f>_xlfn.XLOOKUP(Sales_All[[#This Row],[OrderID]], Operations_Data!A:A, Operations_Data!B:B)</f>
        <v>6</v>
      </c>
      <c r="P72">
        <f>_xlfn.XLOOKUP(Sales_All[[#This Row],[OrderID]], Operations_Data!A:A, Operations_Data!C:C)</f>
        <v>0.05</v>
      </c>
      <c r="Q72" s="1">
        <f>Sales_All[[#This Row],[Quantity]]*Sales_All[[#This Row],[UnitPrice]]</f>
        <v>2530</v>
      </c>
      <c r="R72" s="1">
        <f>Sales_All[[#This Row],[Revenue]]*(1-Sales_All[[#This Row],[Discount]])</f>
        <v>2277</v>
      </c>
      <c r="S72" s="1">
        <f>Sales_All[[#This Row],[Revenue]] -(Sales_All[[#This Row],[Quantity]]*Sales_All[[#This Row],[UnitCost]])-Sales_All[[#This Row],[Overheads]]</f>
        <v>-34850</v>
      </c>
      <c r="T72" s="1" t="str" cm="1">
        <f t="array" ref="T72">_xlfn.IFS(Sales_All[[#This Row],[Revenue]]&gt;50000,"VIP",Sales_All[[#This Row],[Revenue]]&gt;=20000,"Regular",Sales_All[[#This Row],[Revenue]]&lt;20000,"Low Value")</f>
        <v>Low Value</v>
      </c>
      <c r="U72" s="1" t="str">
        <f>INDEX(Product_List!B:B, MATCH(Sales_All[[#This Row],[Product]], Product_List!A:A, 0))</f>
        <v>Accessories</v>
      </c>
      <c r="V72" s="1" t="str" cm="1">
        <f t="array" ref="V72">_xlfn.TEXTJOIN(", ", TRUE,IF(Sales_All[CustomerID] = Sales_All[[#This Row],[CustomerID]], Sales_All[Product], ""))</f>
        <v>Tablet, Laptop, Headphones, Laptop</v>
      </c>
    </row>
    <row r="73" spans="1:22" x14ac:dyDescent="0.3">
      <c r="A73" s="1" t="s">
        <v>88</v>
      </c>
      <c r="B73" s="3">
        <v>45868.096215277779</v>
      </c>
      <c r="C73" s="5" t="s">
        <v>13</v>
      </c>
      <c r="D73">
        <v>1011</v>
      </c>
      <c r="E73" s="5" t="s">
        <v>9</v>
      </c>
      <c r="F73" s="1" t="str">
        <f>_xlfn.XLOOKUP(Sales_All[[#This Row],[Product]], Product_List!A:A, Product_List!B:B,)</f>
        <v>Electronics</v>
      </c>
      <c r="G73" s="1">
        <f>_xlfn.XLOOKUP(Sales_All[[#This Row],[Product]], Product_List!A:A, Product_List!D:D)</f>
        <v>492</v>
      </c>
      <c r="H73" s="7">
        <f>_xlfn.XLOOKUP(Sales_All[[#This Row],[Product]], Product_List!A:A, Product_List!E:E)</f>
        <v>0.14000000000000001</v>
      </c>
      <c r="I73" s="4">
        <v>3</v>
      </c>
      <c r="J73" s="4">
        <v>1634</v>
      </c>
      <c r="K73" s="3">
        <f>EOMONTH(Sales_All[[#This Row],[Date]],0)</f>
        <v>45869</v>
      </c>
      <c r="L73" s="1">
        <f>_xlfn.XLOOKUP(Sales_All[[#This Row],[Month]], Finance_Data!A:A, Finance_Data!B:B)</f>
        <v>36304</v>
      </c>
      <c r="M73" s="1">
        <f>_xlfn.XLOOKUP(Sales_All[[#This Row],[Month]], Finance_Data!A:A, Finance_Data!C:C, 0)</f>
        <v>63297</v>
      </c>
      <c r="N73" s="1">
        <f>(Sales_All[[#This Row],[Quantity]]*Sales_All[[#This Row],[UnitPrice]]) - (Sales_All[[#This Row],[Quantity]]*Sales_All[[#This Row],[UnitCost]])  - Sales_All[[#This Row],[Overheads]] -Sales_All[[#This Row],[Salaries]]</f>
        <v>-96175</v>
      </c>
      <c r="O73">
        <f>_xlfn.XLOOKUP(Sales_All[[#This Row],[OrderID]], Operations_Data!A:A, Operations_Data!B:B)</f>
        <v>7</v>
      </c>
      <c r="P73">
        <f>_xlfn.XLOOKUP(Sales_All[[#This Row],[OrderID]], Operations_Data!A:A, Operations_Data!C:C)</f>
        <v>0.09</v>
      </c>
      <c r="Q73" s="1">
        <f>Sales_All[[#This Row],[Quantity]]*Sales_All[[#This Row],[UnitPrice]]</f>
        <v>4902</v>
      </c>
      <c r="R73" s="1">
        <f>Sales_All[[#This Row],[Revenue]]*(1-Sales_All[[#This Row],[Discount]])</f>
        <v>4215.72</v>
      </c>
      <c r="S73" s="1">
        <f>Sales_All[[#This Row],[Revenue]] -(Sales_All[[#This Row],[Quantity]]*Sales_All[[#This Row],[UnitCost]])-Sales_All[[#This Row],[Overheads]]</f>
        <v>-32878</v>
      </c>
      <c r="T73" s="1" t="str" cm="1">
        <f t="array" ref="T73">_xlfn.IFS(Sales_All[[#This Row],[Revenue]]&gt;50000,"VIP",Sales_All[[#This Row],[Revenue]]&gt;=20000,"Regular",Sales_All[[#This Row],[Revenue]]&lt;20000,"Low Value")</f>
        <v>Low Value</v>
      </c>
      <c r="U73" s="1" t="str">
        <f>INDEX(Product_List!B:B, MATCH(Sales_All[[#This Row],[Product]], Product_List!A:A, 0))</f>
        <v>Electronics</v>
      </c>
      <c r="V73" s="1" t="str" cm="1">
        <f t="array" ref="V73">_xlfn.TEXTJOIN(", ", TRUE,IF(Sales_All[CustomerID] = Sales_All[[#This Row],[CustomerID]], Sales_All[Product], ""))</f>
        <v>Printer, Headphones, Tablet</v>
      </c>
    </row>
    <row r="74" spans="1:22" x14ac:dyDescent="0.3">
      <c r="A74" s="1" t="s">
        <v>89</v>
      </c>
      <c r="B74" s="3">
        <v>45916.957511574074</v>
      </c>
      <c r="C74" s="5" t="s">
        <v>16</v>
      </c>
      <c r="D74">
        <v>1012</v>
      </c>
      <c r="E74" s="5" t="s">
        <v>25</v>
      </c>
      <c r="F74" s="1" t="str">
        <f>_xlfn.XLOOKUP(Sales_All[[#This Row],[Product]], Product_List!A:A, Product_List!B:B,)</f>
        <v>Office</v>
      </c>
      <c r="G74" s="1">
        <f>_xlfn.XLOOKUP(Sales_All[[#This Row],[Product]], Product_List!A:A, Product_List!D:D)</f>
        <v>136</v>
      </c>
      <c r="H74" s="7">
        <f>_xlfn.XLOOKUP(Sales_All[[#This Row],[Product]], Product_List!A:A, Product_List!E:E)</f>
        <v>0.1</v>
      </c>
      <c r="I74" s="4">
        <v>3</v>
      </c>
      <c r="J74" s="4">
        <v>144</v>
      </c>
      <c r="K74" s="3">
        <f>EOMONTH(Sales_All[[#This Row],[Date]],0)</f>
        <v>45930</v>
      </c>
      <c r="L74" s="1">
        <f>_xlfn.XLOOKUP(Sales_All[[#This Row],[Month]], Finance_Data!A:A, Finance_Data!B:B)</f>
        <v>34260</v>
      </c>
      <c r="M74" s="1">
        <f>_xlfn.XLOOKUP(Sales_All[[#This Row],[Month]], Finance_Data!A:A, Finance_Data!C:C, 0)</f>
        <v>70760</v>
      </c>
      <c r="N74" s="1">
        <f>(Sales_All[[#This Row],[Quantity]]*Sales_All[[#This Row],[UnitPrice]]) - (Sales_All[[#This Row],[Quantity]]*Sales_All[[#This Row],[UnitCost]])  - Sales_All[[#This Row],[Overheads]] -Sales_All[[#This Row],[Salaries]]</f>
        <v>-104996</v>
      </c>
      <c r="O74">
        <f>_xlfn.XLOOKUP(Sales_All[[#This Row],[OrderID]], Operations_Data!A:A, Operations_Data!B:B)</f>
        <v>7</v>
      </c>
      <c r="P74">
        <f>_xlfn.XLOOKUP(Sales_All[[#This Row],[OrderID]], Operations_Data!A:A, Operations_Data!C:C)</f>
        <v>7.0000000000000007E-2</v>
      </c>
      <c r="Q74" s="1">
        <f>Sales_All[[#This Row],[Quantity]]*Sales_All[[#This Row],[UnitPrice]]</f>
        <v>432</v>
      </c>
      <c r="R74" s="1">
        <f>Sales_All[[#This Row],[Revenue]]*(1-Sales_All[[#This Row],[Discount]])</f>
        <v>388.8</v>
      </c>
      <c r="S74" s="1">
        <f>Sales_All[[#This Row],[Revenue]] -(Sales_All[[#This Row],[Quantity]]*Sales_All[[#This Row],[UnitCost]])-Sales_All[[#This Row],[Overheads]]</f>
        <v>-34236</v>
      </c>
      <c r="T74" s="1" t="str" cm="1">
        <f t="array" ref="T74">_xlfn.IFS(Sales_All[[#This Row],[Revenue]]&gt;50000,"VIP",Sales_All[[#This Row],[Revenue]]&gt;=20000,"Regular",Sales_All[[#This Row],[Revenue]]&lt;20000,"Low Value")</f>
        <v>Low Value</v>
      </c>
      <c r="U74" s="1" t="str">
        <f>INDEX(Product_List!B:B, MATCH(Sales_All[[#This Row],[Product]], Product_List!A:A, 0))</f>
        <v>Office</v>
      </c>
      <c r="V74" s="1" t="str" cm="1">
        <f t="array" ref="V74">_xlfn.TEXTJOIN(", ", TRUE,IF(Sales_All[CustomerID] = Sales_All[[#This Row],[CustomerID]], Sales_All[Product], ""))</f>
        <v>Laptop, Headphones, Printer, Monitor</v>
      </c>
    </row>
    <row r="75" spans="1:22" x14ac:dyDescent="0.3">
      <c r="A75" s="1" t="s">
        <v>90</v>
      </c>
      <c r="B75" s="3">
        <v>45849.520115740743</v>
      </c>
      <c r="C75" s="5" t="s">
        <v>13</v>
      </c>
      <c r="D75">
        <v>1005</v>
      </c>
      <c r="E75" s="5" t="s">
        <v>9</v>
      </c>
      <c r="F75" s="1" t="str">
        <f>_xlfn.XLOOKUP(Sales_All[[#This Row],[Product]], Product_List!A:A, Product_List!B:B,)</f>
        <v>Electronics</v>
      </c>
      <c r="G75" s="1">
        <f>_xlfn.XLOOKUP(Sales_All[[#This Row],[Product]], Product_List!A:A, Product_List!D:D)</f>
        <v>492</v>
      </c>
      <c r="H75" s="7">
        <f>_xlfn.XLOOKUP(Sales_All[[#This Row],[Product]], Product_List!A:A, Product_List!E:E)</f>
        <v>0.14000000000000001</v>
      </c>
      <c r="I75" s="4">
        <v>8</v>
      </c>
      <c r="J75" s="4">
        <v>1707</v>
      </c>
      <c r="K75" s="3">
        <f>EOMONTH(Sales_All[[#This Row],[Date]],0)</f>
        <v>45869</v>
      </c>
      <c r="L75" s="1">
        <f>_xlfn.XLOOKUP(Sales_All[[#This Row],[Month]], Finance_Data!A:A, Finance_Data!B:B)</f>
        <v>36304</v>
      </c>
      <c r="M75" s="1">
        <f>_xlfn.XLOOKUP(Sales_All[[#This Row],[Month]], Finance_Data!A:A, Finance_Data!C:C, 0)</f>
        <v>63297</v>
      </c>
      <c r="N75" s="1">
        <f>(Sales_All[[#This Row],[Quantity]]*Sales_All[[#This Row],[UnitPrice]]) - (Sales_All[[#This Row],[Quantity]]*Sales_All[[#This Row],[UnitCost]])  - Sales_All[[#This Row],[Overheads]] -Sales_All[[#This Row],[Salaries]]</f>
        <v>-89881</v>
      </c>
      <c r="O75">
        <f>_xlfn.XLOOKUP(Sales_All[[#This Row],[OrderID]], Operations_Data!A:A, Operations_Data!B:B)</f>
        <v>6</v>
      </c>
      <c r="P75">
        <f>_xlfn.XLOOKUP(Sales_All[[#This Row],[OrderID]], Operations_Data!A:A, Operations_Data!C:C)</f>
        <v>0.08</v>
      </c>
      <c r="Q75" s="1">
        <f>Sales_All[[#This Row],[Quantity]]*Sales_All[[#This Row],[UnitPrice]]</f>
        <v>13656</v>
      </c>
      <c r="R75" s="1">
        <f>Sales_All[[#This Row],[Revenue]]*(1-Sales_All[[#This Row],[Discount]])</f>
        <v>11744.16</v>
      </c>
      <c r="S75" s="1">
        <f>Sales_All[[#This Row],[Revenue]] -(Sales_All[[#This Row],[Quantity]]*Sales_All[[#This Row],[UnitCost]])-Sales_All[[#This Row],[Overheads]]</f>
        <v>-26584</v>
      </c>
      <c r="T75" s="1" t="str" cm="1">
        <f t="array" ref="T75">_xlfn.IFS(Sales_All[[#This Row],[Revenue]]&gt;50000,"VIP",Sales_All[[#This Row],[Revenue]]&gt;=20000,"Regular",Sales_All[[#This Row],[Revenue]]&lt;20000,"Low Value")</f>
        <v>Low Value</v>
      </c>
      <c r="U75" s="1" t="str">
        <f>INDEX(Product_List!B:B, MATCH(Sales_All[[#This Row],[Product]], Product_List!A:A, 0))</f>
        <v>Electronics</v>
      </c>
      <c r="V75" s="1" t="str" cm="1">
        <f t="array" ref="V75">_xlfn.TEXTJOIN(", ", TRUE,IF(Sales_All[CustomerID] = Sales_All[[#This Row],[CustomerID]], Sales_All[Product], ""))</f>
        <v>Monitor, Printer, Printer, Printer, Tablet</v>
      </c>
    </row>
    <row r="76" spans="1:22" x14ac:dyDescent="0.3">
      <c r="A76" s="1" t="s">
        <v>91</v>
      </c>
      <c r="B76" s="3">
        <v>45873.09915509259</v>
      </c>
      <c r="C76" s="5" t="s">
        <v>19</v>
      </c>
      <c r="D76">
        <v>1004</v>
      </c>
      <c r="E76" s="5" t="s">
        <v>20</v>
      </c>
      <c r="F76" s="1" t="str">
        <f>_xlfn.XLOOKUP(Sales_All[[#This Row],[Product]], Product_List!A:A, Product_List!B:B,)</f>
        <v>Electronics</v>
      </c>
      <c r="G76" s="1">
        <f>_xlfn.XLOOKUP(Sales_All[[#This Row],[Product]], Product_List!A:A, Product_List!D:D)</f>
        <v>469</v>
      </c>
      <c r="H76" s="7">
        <f>_xlfn.XLOOKUP(Sales_All[[#This Row],[Product]], Product_List!A:A, Product_List!E:E)</f>
        <v>0.22</v>
      </c>
      <c r="I76" s="4">
        <v>4</v>
      </c>
      <c r="J76" s="4">
        <v>960</v>
      </c>
      <c r="K76" s="3">
        <f>EOMONTH(Sales_All[[#This Row],[Date]],0)</f>
        <v>45900</v>
      </c>
      <c r="L76" s="1">
        <f>_xlfn.XLOOKUP(Sales_All[[#This Row],[Month]], Finance_Data!A:A, Finance_Data!B:B)</f>
        <v>36734</v>
      </c>
      <c r="M76" s="1">
        <f>_xlfn.XLOOKUP(Sales_All[[#This Row],[Month]], Finance_Data!A:A, Finance_Data!C:C, 0)</f>
        <v>93760</v>
      </c>
      <c r="N76" s="1">
        <f>(Sales_All[[#This Row],[Quantity]]*Sales_All[[#This Row],[UnitPrice]]) - (Sales_All[[#This Row],[Quantity]]*Sales_All[[#This Row],[UnitCost]])  - Sales_All[[#This Row],[Overheads]] -Sales_All[[#This Row],[Salaries]]</f>
        <v>-128530</v>
      </c>
      <c r="O76">
        <f>_xlfn.XLOOKUP(Sales_All[[#This Row],[OrderID]], Operations_Data!A:A, Operations_Data!B:B)</f>
        <v>7</v>
      </c>
      <c r="P76">
        <f>_xlfn.XLOOKUP(Sales_All[[#This Row],[OrderID]], Operations_Data!A:A, Operations_Data!C:C)</f>
        <v>0.04</v>
      </c>
      <c r="Q76" s="1">
        <f>Sales_All[[#This Row],[Quantity]]*Sales_All[[#This Row],[UnitPrice]]</f>
        <v>3840</v>
      </c>
      <c r="R76" s="1">
        <f>Sales_All[[#This Row],[Revenue]]*(1-Sales_All[[#This Row],[Discount]])</f>
        <v>2995.2000000000003</v>
      </c>
      <c r="S76" s="1">
        <f>Sales_All[[#This Row],[Revenue]] -(Sales_All[[#This Row],[Quantity]]*Sales_All[[#This Row],[UnitCost]])-Sales_All[[#This Row],[Overheads]]</f>
        <v>-34770</v>
      </c>
      <c r="T76" s="1" t="str" cm="1">
        <f t="array" ref="T76">_xlfn.IFS(Sales_All[[#This Row],[Revenue]]&gt;50000,"VIP",Sales_All[[#This Row],[Revenue]]&gt;=20000,"Regular",Sales_All[[#This Row],[Revenue]]&lt;20000,"Low Value")</f>
        <v>Low Value</v>
      </c>
      <c r="U76" s="1" t="str">
        <f>INDEX(Product_List!B:B, MATCH(Sales_All[[#This Row],[Product]], Product_List!A:A, 0))</f>
        <v>Electronics</v>
      </c>
      <c r="V76" s="1" t="str" cm="1">
        <f t="array" ref="V76">_xlfn.TEXTJOIN(", ", TRUE,IF(Sales_All[CustomerID] = Sales_All[[#This Row],[CustomerID]], Sales_All[Product], ""))</f>
        <v>Headphones, Printer, Laptop</v>
      </c>
    </row>
    <row r="77" spans="1:22" x14ac:dyDescent="0.3">
      <c r="A77" s="1" t="s">
        <v>92</v>
      </c>
      <c r="B77" s="3">
        <v>45926.222662037027</v>
      </c>
      <c r="C77" s="5" t="s">
        <v>13</v>
      </c>
      <c r="D77">
        <v>1017</v>
      </c>
      <c r="E77" s="5" t="s">
        <v>20</v>
      </c>
      <c r="F77" s="1" t="str">
        <f>_xlfn.XLOOKUP(Sales_All[[#This Row],[Product]], Product_List!A:A, Product_List!B:B,)</f>
        <v>Electronics</v>
      </c>
      <c r="G77" s="1">
        <f>_xlfn.XLOOKUP(Sales_All[[#This Row],[Product]], Product_List!A:A, Product_List!D:D)</f>
        <v>469</v>
      </c>
      <c r="H77" s="7">
        <f>_xlfn.XLOOKUP(Sales_All[[#This Row],[Product]], Product_List!A:A, Product_List!E:E)</f>
        <v>0.22</v>
      </c>
      <c r="I77" s="4">
        <v>5</v>
      </c>
      <c r="J77" s="4">
        <v>1416</v>
      </c>
      <c r="K77" s="3">
        <f>EOMONTH(Sales_All[[#This Row],[Date]],0)</f>
        <v>45930</v>
      </c>
      <c r="L77" s="1">
        <f>_xlfn.XLOOKUP(Sales_All[[#This Row],[Month]], Finance_Data!A:A, Finance_Data!B:B)</f>
        <v>34260</v>
      </c>
      <c r="M77" s="1">
        <f>_xlfn.XLOOKUP(Sales_All[[#This Row],[Month]], Finance_Data!A:A, Finance_Data!C:C, 0)</f>
        <v>70760</v>
      </c>
      <c r="N77" s="1">
        <f>(Sales_All[[#This Row],[Quantity]]*Sales_All[[#This Row],[UnitPrice]]) - (Sales_All[[#This Row],[Quantity]]*Sales_All[[#This Row],[UnitCost]])  - Sales_All[[#This Row],[Overheads]] -Sales_All[[#This Row],[Salaries]]</f>
        <v>-100285</v>
      </c>
      <c r="O77">
        <f>_xlfn.XLOOKUP(Sales_All[[#This Row],[OrderID]], Operations_Data!A:A, Operations_Data!B:B)</f>
        <v>5</v>
      </c>
      <c r="P77">
        <f>_xlfn.XLOOKUP(Sales_All[[#This Row],[OrderID]], Operations_Data!A:A, Operations_Data!C:C)</f>
        <v>0.03</v>
      </c>
      <c r="Q77" s="1">
        <f>Sales_All[[#This Row],[Quantity]]*Sales_All[[#This Row],[UnitPrice]]</f>
        <v>7080</v>
      </c>
      <c r="R77" s="1">
        <f>Sales_All[[#This Row],[Revenue]]*(1-Sales_All[[#This Row],[Discount]])</f>
        <v>5522.4000000000005</v>
      </c>
      <c r="S77" s="1">
        <f>Sales_All[[#This Row],[Revenue]] -(Sales_All[[#This Row],[Quantity]]*Sales_All[[#This Row],[UnitCost]])-Sales_All[[#This Row],[Overheads]]</f>
        <v>-29525</v>
      </c>
      <c r="T77" s="1" t="str" cm="1">
        <f t="array" ref="T77">_xlfn.IFS(Sales_All[[#This Row],[Revenue]]&gt;50000,"VIP",Sales_All[[#This Row],[Revenue]]&gt;=20000,"Regular",Sales_All[[#This Row],[Revenue]]&lt;20000,"Low Value")</f>
        <v>Low Value</v>
      </c>
      <c r="U77" s="1" t="str">
        <f>INDEX(Product_List!B:B, MATCH(Sales_All[[#This Row],[Product]], Product_List!A:A, 0))</f>
        <v>Electronics</v>
      </c>
      <c r="V77" s="1" t="str" cm="1">
        <f t="array" ref="V77">_xlfn.TEXTJOIN(", ", TRUE,IF(Sales_All[CustomerID] = Sales_All[[#This Row],[CustomerID]], Sales_All[Product], ""))</f>
        <v>Tablet, Laptop, Printer, Laptop, Smartphone</v>
      </c>
    </row>
    <row r="78" spans="1:22" x14ac:dyDescent="0.3">
      <c r="A78" s="1" t="s">
        <v>93</v>
      </c>
      <c r="B78" s="3">
        <v>45906.44259259259</v>
      </c>
      <c r="C78" s="5" t="s">
        <v>8</v>
      </c>
      <c r="D78">
        <v>1017</v>
      </c>
      <c r="E78" s="5" t="s">
        <v>25</v>
      </c>
      <c r="F78" s="1" t="str">
        <f>_xlfn.XLOOKUP(Sales_All[[#This Row],[Product]], Product_List!A:A, Product_List!B:B,)</f>
        <v>Office</v>
      </c>
      <c r="G78" s="1">
        <f>_xlfn.XLOOKUP(Sales_All[[#This Row],[Product]], Product_List!A:A, Product_List!D:D)</f>
        <v>136</v>
      </c>
      <c r="H78" s="7">
        <f>_xlfn.XLOOKUP(Sales_All[[#This Row],[Product]], Product_List!A:A, Product_List!E:E)</f>
        <v>0.1</v>
      </c>
      <c r="I78" s="4">
        <v>2</v>
      </c>
      <c r="J78" s="4">
        <v>300</v>
      </c>
      <c r="K78" s="3">
        <f>EOMONTH(Sales_All[[#This Row],[Date]],0)</f>
        <v>45930</v>
      </c>
      <c r="L78" s="1">
        <f>_xlfn.XLOOKUP(Sales_All[[#This Row],[Month]], Finance_Data!A:A, Finance_Data!B:B)</f>
        <v>34260</v>
      </c>
      <c r="M78" s="1">
        <f>_xlfn.XLOOKUP(Sales_All[[#This Row],[Month]], Finance_Data!A:A, Finance_Data!C:C, 0)</f>
        <v>70760</v>
      </c>
      <c r="N78" s="1">
        <f>(Sales_All[[#This Row],[Quantity]]*Sales_All[[#This Row],[UnitPrice]]) - (Sales_All[[#This Row],[Quantity]]*Sales_All[[#This Row],[UnitCost]])  - Sales_All[[#This Row],[Overheads]] -Sales_All[[#This Row],[Salaries]]</f>
        <v>-104692</v>
      </c>
      <c r="O78">
        <f>_xlfn.XLOOKUP(Sales_All[[#This Row],[OrderID]], Operations_Data!A:A, Operations_Data!B:B)</f>
        <v>8</v>
      </c>
      <c r="P78">
        <f>_xlfn.XLOOKUP(Sales_All[[#This Row],[OrderID]], Operations_Data!A:A, Operations_Data!C:C)</f>
        <v>7.0000000000000007E-2</v>
      </c>
      <c r="Q78" s="1">
        <f>Sales_All[[#This Row],[Quantity]]*Sales_All[[#This Row],[UnitPrice]]</f>
        <v>600</v>
      </c>
      <c r="R78" s="1">
        <f>Sales_All[[#This Row],[Revenue]]*(1-Sales_All[[#This Row],[Discount]])</f>
        <v>540</v>
      </c>
      <c r="S78" s="1">
        <f>Sales_All[[#This Row],[Revenue]] -(Sales_All[[#This Row],[Quantity]]*Sales_All[[#This Row],[UnitCost]])-Sales_All[[#This Row],[Overheads]]</f>
        <v>-33932</v>
      </c>
      <c r="T78" s="1" t="str" cm="1">
        <f t="array" ref="T78">_xlfn.IFS(Sales_All[[#This Row],[Revenue]]&gt;50000,"VIP",Sales_All[[#This Row],[Revenue]]&gt;=20000,"Regular",Sales_All[[#This Row],[Revenue]]&lt;20000,"Low Value")</f>
        <v>Low Value</v>
      </c>
      <c r="U78" s="1" t="str">
        <f>INDEX(Product_List!B:B, MATCH(Sales_All[[#This Row],[Product]], Product_List!A:A, 0))</f>
        <v>Office</v>
      </c>
      <c r="V78" s="1" t="str" cm="1">
        <f t="array" ref="V78">_xlfn.TEXTJOIN(", ", TRUE,IF(Sales_All[CustomerID] = Sales_All[[#This Row],[CustomerID]], Sales_All[Product], ""))</f>
        <v>Tablet, Laptop, Printer, Laptop, Smartphone</v>
      </c>
    </row>
    <row r="79" spans="1:22" x14ac:dyDescent="0.3">
      <c r="A79" s="1" t="s">
        <v>94</v>
      </c>
      <c r="B79" s="3">
        <v>45911.789861111109</v>
      </c>
      <c r="C79" s="5" t="s">
        <v>13</v>
      </c>
      <c r="D79">
        <v>1001</v>
      </c>
      <c r="E79" s="5" t="s">
        <v>20</v>
      </c>
      <c r="F79" s="1" t="str">
        <f>_xlfn.XLOOKUP(Sales_All[[#This Row],[Product]], Product_List!A:A, Product_List!B:B,)</f>
        <v>Electronics</v>
      </c>
      <c r="G79" s="1">
        <f>_xlfn.XLOOKUP(Sales_All[[#This Row],[Product]], Product_List!A:A, Product_List!D:D)</f>
        <v>469</v>
      </c>
      <c r="H79" s="7">
        <f>_xlfn.XLOOKUP(Sales_All[[#This Row],[Product]], Product_List!A:A, Product_List!E:E)</f>
        <v>0.22</v>
      </c>
      <c r="I79" s="4">
        <v>7</v>
      </c>
      <c r="J79" s="4">
        <v>608</v>
      </c>
      <c r="K79" s="3">
        <f>EOMONTH(Sales_All[[#This Row],[Date]],0)</f>
        <v>45930</v>
      </c>
      <c r="L79" s="1">
        <f>_xlfn.XLOOKUP(Sales_All[[#This Row],[Month]], Finance_Data!A:A, Finance_Data!B:B)</f>
        <v>34260</v>
      </c>
      <c r="M79" s="1">
        <f>_xlfn.XLOOKUP(Sales_All[[#This Row],[Month]], Finance_Data!A:A, Finance_Data!C:C, 0)</f>
        <v>70760</v>
      </c>
      <c r="N79" s="1">
        <f>(Sales_All[[#This Row],[Quantity]]*Sales_All[[#This Row],[UnitPrice]]) - (Sales_All[[#This Row],[Quantity]]*Sales_All[[#This Row],[UnitCost]])  - Sales_All[[#This Row],[Overheads]] -Sales_All[[#This Row],[Salaries]]</f>
        <v>-104047</v>
      </c>
      <c r="O79">
        <f>_xlfn.XLOOKUP(Sales_All[[#This Row],[OrderID]], Operations_Data!A:A, Operations_Data!B:B)</f>
        <v>4</v>
      </c>
      <c r="P79">
        <f>_xlfn.XLOOKUP(Sales_All[[#This Row],[OrderID]], Operations_Data!A:A, Operations_Data!C:C)</f>
        <v>7.0000000000000007E-2</v>
      </c>
      <c r="Q79" s="1">
        <f>Sales_All[[#This Row],[Quantity]]*Sales_All[[#This Row],[UnitPrice]]</f>
        <v>4256</v>
      </c>
      <c r="R79" s="1">
        <f>Sales_All[[#This Row],[Revenue]]*(1-Sales_All[[#This Row],[Discount]])</f>
        <v>3319.6800000000003</v>
      </c>
      <c r="S79" s="1">
        <f>Sales_All[[#This Row],[Revenue]] -(Sales_All[[#This Row],[Quantity]]*Sales_All[[#This Row],[UnitCost]])-Sales_All[[#This Row],[Overheads]]</f>
        <v>-33287</v>
      </c>
      <c r="T79" s="1" t="str" cm="1">
        <f t="array" ref="T79">_xlfn.IFS(Sales_All[[#This Row],[Revenue]]&gt;50000,"VIP",Sales_All[[#This Row],[Revenue]]&gt;=20000,"Regular",Sales_All[[#This Row],[Revenue]]&lt;20000,"Low Value")</f>
        <v>Low Value</v>
      </c>
      <c r="U79" s="1" t="str">
        <f>INDEX(Product_List!B:B, MATCH(Sales_All[[#This Row],[Product]], Product_List!A:A, 0))</f>
        <v>Electronics</v>
      </c>
      <c r="V79" s="1" t="str" cm="1">
        <f t="array" ref="V79">_xlfn.TEXTJOIN(", ", TRUE,IF(Sales_All[CustomerID] = Sales_All[[#This Row],[CustomerID]], Sales_All[Product], ""))</f>
        <v>Printer, Monitor, Smartphone, Headphones, Monitor, Monitor, Laptop, Laptop</v>
      </c>
    </row>
    <row r="80" spans="1:22" x14ac:dyDescent="0.3">
      <c r="A80" s="1" t="s">
        <v>95</v>
      </c>
      <c r="B80" s="3">
        <v>45867.799027777779</v>
      </c>
      <c r="C80" s="5" t="s">
        <v>13</v>
      </c>
      <c r="D80">
        <v>1017</v>
      </c>
      <c r="E80" s="5" t="s">
        <v>20</v>
      </c>
      <c r="F80" s="1" t="str">
        <f>_xlfn.XLOOKUP(Sales_All[[#This Row],[Product]], Product_List!A:A, Product_List!B:B,)</f>
        <v>Electronics</v>
      </c>
      <c r="G80" s="1">
        <f>_xlfn.XLOOKUP(Sales_All[[#This Row],[Product]], Product_List!A:A, Product_List!D:D)</f>
        <v>469</v>
      </c>
      <c r="H80" s="7">
        <f>_xlfn.XLOOKUP(Sales_All[[#This Row],[Product]], Product_List!A:A, Product_List!E:E)</f>
        <v>0.22</v>
      </c>
      <c r="I80" s="4">
        <v>8</v>
      </c>
      <c r="J80" s="4">
        <v>1150</v>
      </c>
      <c r="K80" s="3">
        <f>EOMONTH(Sales_All[[#This Row],[Date]],0)</f>
        <v>45869</v>
      </c>
      <c r="L80" s="1">
        <f>_xlfn.XLOOKUP(Sales_All[[#This Row],[Month]], Finance_Data!A:A, Finance_Data!B:B)</f>
        <v>36304</v>
      </c>
      <c r="M80" s="1">
        <f>_xlfn.XLOOKUP(Sales_All[[#This Row],[Month]], Finance_Data!A:A, Finance_Data!C:C, 0)</f>
        <v>63297</v>
      </c>
      <c r="N80" s="1">
        <f>(Sales_All[[#This Row],[Quantity]]*Sales_All[[#This Row],[UnitPrice]]) - (Sales_All[[#This Row],[Quantity]]*Sales_All[[#This Row],[UnitCost]])  - Sales_All[[#This Row],[Overheads]] -Sales_All[[#This Row],[Salaries]]</f>
        <v>-94153</v>
      </c>
      <c r="O80">
        <f>_xlfn.XLOOKUP(Sales_All[[#This Row],[OrderID]], Operations_Data!A:A, Operations_Data!B:B)</f>
        <v>3</v>
      </c>
      <c r="P80">
        <f>_xlfn.XLOOKUP(Sales_All[[#This Row],[OrderID]], Operations_Data!A:A, Operations_Data!C:C)</f>
        <v>0.01</v>
      </c>
      <c r="Q80" s="1">
        <f>Sales_All[[#This Row],[Quantity]]*Sales_All[[#This Row],[UnitPrice]]</f>
        <v>9200</v>
      </c>
      <c r="R80" s="1">
        <f>Sales_All[[#This Row],[Revenue]]*(1-Sales_All[[#This Row],[Discount]])</f>
        <v>7176</v>
      </c>
      <c r="S80" s="1">
        <f>Sales_All[[#This Row],[Revenue]] -(Sales_All[[#This Row],[Quantity]]*Sales_All[[#This Row],[UnitCost]])-Sales_All[[#This Row],[Overheads]]</f>
        <v>-30856</v>
      </c>
      <c r="T80" s="1" t="str" cm="1">
        <f t="array" ref="T80">_xlfn.IFS(Sales_All[[#This Row],[Revenue]]&gt;50000,"VIP",Sales_All[[#This Row],[Revenue]]&gt;=20000,"Regular",Sales_All[[#This Row],[Revenue]]&lt;20000,"Low Value")</f>
        <v>Low Value</v>
      </c>
      <c r="U80" s="1" t="str">
        <f>INDEX(Product_List!B:B, MATCH(Sales_All[[#This Row],[Product]], Product_List!A:A, 0))</f>
        <v>Electronics</v>
      </c>
      <c r="V80" s="1" t="str" cm="1">
        <f t="array" ref="V80">_xlfn.TEXTJOIN(", ", TRUE,IF(Sales_All[CustomerID] = Sales_All[[#This Row],[CustomerID]], Sales_All[Product], ""))</f>
        <v>Tablet, Laptop, Printer, Laptop, Smartphone</v>
      </c>
    </row>
    <row r="81" spans="1:22" x14ac:dyDescent="0.3">
      <c r="A81" s="1" t="s">
        <v>96</v>
      </c>
      <c r="B81" s="3">
        <v>45880.701817129629</v>
      </c>
      <c r="C81" s="5" t="s">
        <v>19</v>
      </c>
      <c r="D81">
        <v>1019</v>
      </c>
      <c r="E81" s="5" t="s">
        <v>9</v>
      </c>
      <c r="F81" s="1" t="str">
        <f>_xlfn.XLOOKUP(Sales_All[[#This Row],[Product]], Product_List!A:A, Product_List!B:B,)</f>
        <v>Electronics</v>
      </c>
      <c r="G81" s="1">
        <f>_xlfn.XLOOKUP(Sales_All[[#This Row],[Product]], Product_List!A:A, Product_List!D:D)</f>
        <v>492</v>
      </c>
      <c r="H81" s="7">
        <f>_xlfn.XLOOKUP(Sales_All[[#This Row],[Product]], Product_List!A:A, Product_List!E:E)</f>
        <v>0.14000000000000001</v>
      </c>
      <c r="I81" s="4">
        <v>2</v>
      </c>
      <c r="J81" s="4">
        <v>508</v>
      </c>
      <c r="K81" s="3">
        <f>EOMONTH(Sales_All[[#This Row],[Date]],0)</f>
        <v>45900</v>
      </c>
      <c r="L81" s="1">
        <f>_xlfn.XLOOKUP(Sales_All[[#This Row],[Month]], Finance_Data!A:A, Finance_Data!B:B)</f>
        <v>36734</v>
      </c>
      <c r="M81" s="1">
        <f>_xlfn.XLOOKUP(Sales_All[[#This Row],[Month]], Finance_Data!A:A, Finance_Data!C:C, 0)</f>
        <v>93760</v>
      </c>
      <c r="N81" s="1">
        <f>(Sales_All[[#This Row],[Quantity]]*Sales_All[[#This Row],[UnitPrice]]) - (Sales_All[[#This Row],[Quantity]]*Sales_All[[#This Row],[UnitCost]])  - Sales_All[[#This Row],[Overheads]] -Sales_All[[#This Row],[Salaries]]</f>
        <v>-130462</v>
      </c>
      <c r="O81">
        <f>_xlfn.XLOOKUP(Sales_All[[#This Row],[OrderID]], Operations_Data!A:A, Operations_Data!B:B)</f>
        <v>4</v>
      </c>
      <c r="P81">
        <f>_xlfn.XLOOKUP(Sales_All[[#This Row],[OrderID]], Operations_Data!A:A, Operations_Data!C:C)</f>
        <v>0.01</v>
      </c>
      <c r="Q81" s="1">
        <f>Sales_All[[#This Row],[Quantity]]*Sales_All[[#This Row],[UnitPrice]]</f>
        <v>1016</v>
      </c>
      <c r="R81" s="1">
        <f>Sales_All[[#This Row],[Revenue]]*(1-Sales_All[[#This Row],[Discount]])</f>
        <v>873.76</v>
      </c>
      <c r="S81" s="1">
        <f>Sales_All[[#This Row],[Revenue]] -(Sales_All[[#This Row],[Quantity]]*Sales_All[[#This Row],[UnitCost]])-Sales_All[[#This Row],[Overheads]]</f>
        <v>-36702</v>
      </c>
      <c r="T81" s="1" t="str" cm="1">
        <f t="array" ref="T81">_xlfn.IFS(Sales_All[[#This Row],[Revenue]]&gt;50000,"VIP",Sales_All[[#This Row],[Revenue]]&gt;=20000,"Regular",Sales_All[[#This Row],[Revenue]]&lt;20000,"Low Value")</f>
        <v>Low Value</v>
      </c>
      <c r="U81" s="1" t="str">
        <f>INDEX(Product_List!B:B, MATCH(Sales_All[[#This Row],[Product]], Product_List!A:A, 0))</f>
        <v>Electronics</v>
      </c>
      <c r="V81" s="1" t="str" cm="1">
        <f t="array" ref="V81">_xlfn.TEXTJOIN(", ", TRUE,IF(Sales_All[CustomerID] = Sales_All[[#This Row],[CustomerID]], Sales_All[Product], ""))</f>
        <v>Laptop, Laptop, Headphones, Laptop, Tablet, Tablet, Monitor</v>
      </c>
    </row>
    <row r="82" spans="1:22" x14ac:dyDescent="0.3">
      <c r="A82" s="1" t="s">
        <v>97</v>
      </c>
      <c r="B82" s="3">
        <v>45926.246377314812</v>
      </c>
      <c r="C82" s="5" t="s">
        <v>8</v>
      </c>
      <c r="D82">
        <v>1019</v>
      </c>
      <c r="E82" s="5" t="s">
        <v>9</v>
      </c>
      <c r="F82" s="1" t="str">
        <f>_xlfn.XLOOKUP(Sales_All[[#This Row],[Product]], Product_List!A:A, Product_List!B:B,)</f>
        <v>Electronics</v>
      </c>
      <c r="G82" s="1">
        <f>_xlfn.XLOOKUP(Sales_All[[#This Row],[Product]], Product_List!A:A, Product_List!D:D)</f>
        <v>492</v>
      </c>
      <c r="H82" s="7">
        <f>_xlfn.XLOOKUP(Sales_All[[#This Row],[Product]], Product_List!A:A, Product_List!E:E)</f>
        <v>0.14000000000000001</v>
      </c>
      <c r="I82" s="4">
        <v>1</v>
      </c>
      <c r="J82" s="4">
        <v>1272</v>
      </c>
      <c r="K82" s="3">
        <f>EOMONTH(Sales_All[[#This Row],[Date]],0)</f>
        <v>45930</v>
      </c>
      <c r="L82" s="1">
        <f>_xlfn.XLOOKUP(Sales_All[[#This Row],[Month]], Finance_Data!A:A, Finance_Data!B:B)</f>
        <v>34260</v>
      </c>
      <c r="M82" s="1">
        <f>_xlfn.XLOOKUP(Sales_All[[#This Row],[Month]], Finance_Data!A:A, Finance_Data!C:C, 0)</f>
        <v>70760</v>
      </c>
      <c r="N82" s="1">
        <f>(Sales_All[[#This Row],[Quantity]]*Sales_All[[#This Row],[UnitPrice]]) - (Sales_All[[#This Row],[Quantity]]*Sales_All[[#This Row],[UnitCost]])  - Sales_All[[#This Row],[Overheads]] -Sales_All[[#This Row],[Salaries]]</f>
        <v>-104240</v>
      </c>
      <c r="O82">
        <f>_xlfn.XLOOKUP(Sales_All[[#This Row],[OrderID]], Operations_Data!A:A, Operations_Data!B:B)</f>
        <v>9</v>
      </c>
      <c r="P82">
        <f>_xlfn.XLOOKUP(Sales_All[[#This Row],[OrderID]], Operations_Data!A:A, Operations_Data!C:C)</f>
        <v>0.05</v>
      </c>
      <c r="Q82" s="1">
        <f>Sales_All[[#This Row],[Quantity]]*Sales_All[[#This Row],[UnitPrice]]</f>
        <v>1272</v>
      </c>
      <c r="R82" s="1">
        <f>Sales_All[[#This Row],[Revenue]]*(1-Sales_All[[#This Row],[Discount]])</f>
        <v>1093.92</v>
      </c>
      <c r="S82" s="1">
        <f>Sales_All[[#This Row],[Revenue]] -(Sales_All[[#This Row],[Quantity]]*Sales_All[[#This Row],[UnitCost]])-Sales_All[[#This Row],[Overheads]]</f>
        <v>-33480</v>
      </c>
      <c r="T82" s="1" t="str" cm="1">
        <f t="array" ref="T82">_xlfn.IFS(Sales_All[[#This Row],[Revenue]]&gt;50000,"VIP",Sales_All[[#This Row],[Revenue]]&gt;=20000,"Regular",Sales_All[[#This Row],[Revenue]]&lt;20000,"Low Value")</f>
        <v>Low Value</v>
      </c>
      <c r="U82" s="1" t="str">
        <f>INDEX(Product_List!B:B, MATCH(Sales_All[[#This Row],[Product]], Product_List!A:A, 0))</f>
        <v>Electronics</v>
      </c>
      <c r="V82" s="1" t="str" cm="1">
        <f t="array" ref="V82">_xlfn.TEXTJOIN(", ", TRUE,IF(Sales_All[CustomerID] = Sales_All[[#This Row],[CustomerID]], Sales_All[Product], ""))</f>
        <v>Laptop, Laptop, Headphones, Laptop, Tablet, Tablet, Monitor</v>
      </c>
    </row>
    <row r="83" spans="1:22" x14ac:dyDescent="0.3">
      <c r="A83" s="1" t="s">
        <v>98</v>
      </c>
      <c r="B83" s="3">
        <v>45841.351273148153</v>
      </c>
      <c r="C83" s="5" t="s">
        <v>19</v>
      </c>
      <c r="D83">
        <v>1012</v>
      </c>
      <c r="E83" s="5" t="s">
        <v>14</v>
      </c>
      <c r="F83" s="1" t="str">
        <f>_xlfn.XLOOKUP(Sales_All[[#This Row],[Product]], Product_List!A:A, Product_List!B:B,)</f>
        <v>Electronics</v>
      </c>
      <c r="G83" s="1">
        <f>_xlfn.XLOOKUP(Sales_All[[#This Row],[Product]], Product_List!A:A, Product_List!D:D)</f>
        <v>463</v>
      </c>
      <c r="H83" s="7">
        <f>_xlfn.XLOOKUP(Sales_All[[#This Row],[Product]], Product_List!A:A, Product_List!E:E)</f>
        <v>0.23</v>
      </c>
      <c r="I83" s="4">
        <v>1</v>
      </c>
      <c r="J83" s="4">
        <v>1186</v>
      </c>
      <c r="K83" s="3">
        <f>EOMONTH(Sales_All[[#This Row],[Date]],0)</f>
        <v>45869</v>
      </c>
      <c r="L83" s="1">
        <f>_xlfn.XLOOKUP(Sales_All[[#This Row],[Month]], Finance_Data!A:A, Finance_Data!B:B)</f>
        <v>36304</v>
      </c>
      <c r="M83" s="1">
        <f>_xlfn.XLOOKUP(Sales_All[[#This Row],[Month]], Finance_Data!A:A, Finance_Data!C:C, 0)</f>
        <v>63297</v>
      </c>
      <c r="N83" s="1">
        <f>(Sales_All[[#This Row],[Quantity]]*Sales_All[[#This Row],[UnitPrice]]) - (Sales_All[[#This Row],[Quantity]]*Sales_All[[#This Row],[UnitCost]])  - Sales_All[[#This Row],[Overheads]] -Sales_All[[#This Row],[Salaries]]</f>
        <v>-98878</v>
      </c>
      <c r="O83">
        <f>_xlfn.XLOOKUP(Sales_All[[#This Row],[OrderID]], Operations_Data!A:A, Operations_Data!B:B)</f>
        <v>8</v>
      </c>
      <c r="P83">
        <f>_xlfn.XLOOKUP(Sales_All[[#This Row],[OrderID]], Operations_Data!A:A, Operations_Data!C:C)</f>
        <v>0.02</v>
      </c>
      <c r="Q83" s="1">
        <f>Sales_All[[#This Row],[Quantity]]*Sales_All[[#This Row],[UnitPrice]]</f>
        <v>1186</v>
      </c>
      <c r="R83" s="1">
        <f>Sales_All[[#This Row],[Revenue]]*(1-Sales_All[[#This Row],[Discount]])</f>
        <v>913.22</v>
      </c>
      <c r="S83" s="1">
        <f>Sales_All[[#This Row],[Revenue]] -(Sales_All[[#This Row],[Quantity]]*Sales_All[[#This Row],[UnitCost]])-Sales_All[[#This Row],[Overheads]]</f>
        <v>-35581</v>
      </c>
      <c r="T83" s="1" t="str" cm="1">
        <f t="array" ref="T83">_xlfn.IFS(Sales_All[[#This Row],[Revenue]]&gt;50000,"VIP",Sales_All[[#This Row],[Revenue]]&gt;=20000,"Regular",Sales_All[[#This Row],[Revenue]]&lt;20000,"Low Value")</f>
        <v>Low Value</v>
      </c>
      <c r="U83" s="1" t="str">
        <f>INDEX(Product_List!B:B, MATCH(Sales_All[[#This Row],[Product]], Product_List!A:A, 0))</f>
        <v>Electronics</v>
      </c>
      <c r="V83" s="1" t="str" cm="1">
        <f t="array" ref="V83">_xlfn.TEXTJOIN(", ", TRUE,IF(Sales_All[CustomerID] = Sales_All[[#This Row],[CustomerID]], Sales_All[Product], ""))</f>
        <v>Laptop, Headphones, Printer, Monitor</v>
      </c>
    </row>
    <row r="84" spans="1:22" x14ac:dyDescent="0.3">
      <c r="A84" s="1" t="s">
        <v>99</v>
      </c>
      <c r="B84" s="3">
        <v>45874.122870370367</v>
      </c>
      <c r="C84" s="5" t="s">
        <v>16</v>
      </c>
      <c r="D84">
        <v>1001</v>
      </c>
      <c r="E84" s="5" t="s">
        <v>20</v>
      </c>
      <c r="F84" s="1" t="str">
        <f>_xlfn.XLOOKUP(Sales_All[[#This Row],[Product]], Product_List!A:A, Product_List!B:B,)</f>
        <v>Electronics</v>
      </c>
      <c r="G84" s="1">
        <f>_xlfn.XLOOKUP(Sales_All[[#This Row],[Product]], Product_List!A:A, Product_List!D:D)</f>
        <v>469</v>
      </c>
      <c r="H84" s="7">
        <f>_xlfn.XLOOKUP(Sales_All[[#This Row],[Product]], Product_List!A:A, Product_List!E:E)</f>
        <v>0.22</v>
      </c>
      <c r="I84" s="4">
        <v>6</v>
      </c>
      <c r="J84" s="4">
        <v>272</v>
      </c>
      <c r="K84" s="3">
        <f>EOMONTH(Sales_All[[#This Row],[Date]],0)</f>
        <v>45900</v>
      </c>
      <c r="L84" s="1">
        <f>_xlfn.XLOOKUP(Sales_All[[#This Row],[Month]], Finance_Data!A:A, Finance_Data!B:B)</f>
        <v>36734</v>
      </c>
      <c r="M84" s="1">
        <f>_xlfn.XLOOKUP(Sales_All[[#This Row],[Month]], Finance_Data!A:A, Finance_Data!C:C, 0)</f>
        <v>93760</v>
      </c>
      <c r="N84" s="1">
        <f>(Sales_All[[#This Row],[Quantity]]*Sales_All[[#This Row],[UnitPrice]]) - (Sales_All[[#This Row],[Quantity]]*Sales_All[[#This Row],[UnitCost]])  - Sales_All[[#This Row],[Overheads]] -Sales_All[[#This Row],[Salaries]]</f>
        <v>-131676</v>
      </c>
      <c r="O84">
        <f>_xlfn.XLOOKUP(Sales_All[[#This Row],[OrderID]], Operations_Data!A:A, Operations_Data!B:B)</f>
        <v>2</v>
      </c>
      <c r="P84">
        <f>_xlfn.XLOOKUP(Sales_All[[#This Row],[OrderID]], Operations_Data!A:A, Operations_Data!C:C)</f>
        <v>0.1</v>
      </c>
      <c r="Q84" s="1">
        <f>Sales_All[[#This Row],[Quantity]]*Sales_All[[#This Row],[UnitPrice]]</f>
        <v>1632</v>
      </c>
      <c r="R84" s="1">
        <f>Sales_All[[#This Row],[Revenue]]*(1-Sales_All[[#This Row],[Discount]])</f>
        <v>1272.96</v>
      </c>
      <c r="S84" s="1">
        <f>Sales_All[[#This Row],[Revenue]] -(Sales_All[[#This Row],[Quantity]]*Sales_All[[#This Row],[UnitCost]])-Sales_All[[#This Row],[Overheads]]</f>
        <v>-37916</v>
      </c>
      <c r="T84" s="1" t="str" cm="1">
        <f t="array" ref="T84">_xlfn.IFS(Sales_All[[#This Row],[Revenue]]&gt;50000,"VIP",Sales_All[[#This Row],[Revenue]]&gt;=20000,"Regular",Sales_All[[#This Row],[Revenue]]&lt;20000,"Low Value")</f>
        <v>Low Value</v>
      </c>
      <c r="U84" s="1" t="str">
        <f>INDEX(Product_List!B:B, MATCH(Sales_All[[#This Row],[Product]], Product_List!A:A, 0))</f>
        <v>Electronics</v>
      </c>
      <c r="V84" s="1" t="str" cm="1">
        <f t="array" ref="V84">_xlfn.TEXTJOIN(", ", TRUE,IF(Sales_All[CustomerID] = Sales_All[[#This Row],[CustomerID]], Sales_All[Product], ""))</f>
        <v>Printer, Monitor, Smartphone, Headphones, Monitor, Monitor, Laptop, Laptop</v>
      </c>
    </row>
    <row r="85" spans="1:22" x14ac:dyDescent="0.3">
      <c r="A85" s="1" t="s">
        <v>100</v>
      </c>
      <c r="B85" s="3">
        <v>45875.450671296298</v>
      </c>
      <c r="C85" s="5" t="s">
        <v>8</v>
      </c>
      <c r="D85">
        <v>1014</v>
      </c>
      <c r="E85" s="5" t="s">
        <v>11</v>
      </c>
      <c r="F85" s="1" t="str">
        <f>_xlfn.XLOOKUP(Sales_All[[#This Row],[Product]], Product_List!A:A, Product_List!B:B,)</f>
        <v>Accessories</v>
      </c>
      <c r="G85" s="1">
        <f>_xlfn.XLOOKUP(Sales_All[[#This Row],[Product]], Product_List!A:A, Product_List!D:D)</f>
        <v>323</v>
      </c>
      <c r="H85" s="7">
        <f>_xlfn.XLOOKUP(Sales_All[[#This Row],[Product]], Product_List!A:A, Product_List!E:E)</f>
        <v>0.1</v>
      </c>
      <c r="I85" s="4">
        <v>9</v>
      </c>
      <c r="J85" s="4">
        <v>1794</v>
      </c>
      <c r="K85" s="3">
        <f>EOMONTH(Sales_All[[#This Row],[Date]],0)</f>
        <v>45900</v>
      </c>
      <c r="L85" s="1">
        <f>_xlfn.XLOOKUP(Sales_All[[#This Row],[Month]], Finance_Data!A:A, Finance_Data!B:B)</f>
        <v>36734</v>
      </c>
      <c r="M85" s="1">
        <f>_xlfn.XLOOKUP(Sales_All[[#This Row],[Month]], Finance_Data!A:A, Finance_Data!C:C, 0)</f>
        <v>93760</v>
      </c>
      <c r="N85" s="1">
        <f>(Sales_All[[#This Row],[Quantity]]*Sales_All[[#This Row],[UnitPrice]]) - (Sales_All[[#This Row],[Quantity]]*Sales_All[[#This Row],[UnitCost]])  - Sales_All[[#This Row],[Overheads]] -Sales_All[[#This Row],[Salaries]]</f>
        <v>-117255</v>
      </c>
      <c r="O85">
        <f>_xlfn.XLOOKUP(Sales_All[[#This Row],[OrderID]], Operations_Data!A:A, Operations_Data!B:B)</f>
        <v>6</v>
      </c>
      <c r="P85">
        <f>_xlfn.XLOOKUP(Sales_All[[#This Row],[OrderID]], Operations_Data!A:A, Operations_Data!C:C)</f>
        <v>0.08</v>
      </c>
      <c r="Q85" s="1">
        <f>Sales_All[[#This Row],[Quantity]]*Sales_All[[#This Row],[UnitPrice]]</f>
        <v>16146</v>
      </c>
      <c r="R85" s="1">
        <f>Sales_All[[#This Row],[Revenue]]*(1-Sales_All[[#This Row],[Discount]])</f>
        <v>14531.4</v>
      </c>
      <c r="S85" s="1">
        <f>Sales_All[[#This Row],[Revenue]] -(Sales_All[[#This Row],[Quantity]]*Sales_All[[#This Row],[UnitCost]])-Sales_All[[#This Row],[Overheads]]</f>
        <v>-23495</v>
      </c>
      <c r="T85" s="1" t="str" cm="1">
        <f t="array" ref="T85">_xlfn.IFS(Sales_All[[#This Row],[Revenue]]&gt;50000,"VIP",Sales_All[[#This Row],[Revenue]]&gt;=20000,"Regular",Sales_All[[#This Row],[Revenue]]&lt;20000,"Low Value")</f>
        <v>Low Value</v>
      </c>
      <c r="U85" s="1" t="str">
        <f>INDEX(Product_List!B:B, MATCH(Sales_All[[#This Row],[Product]], Product_List!A:A, 0))</f>
        <v>Accessories</v>
      </c>
      <c r="V85" s="1" t="str" cm="1">
        <f t="array" ref="V85">_xlfn.TEXTJOIN(", ", TRUE,IF(Sales_All[CustomerID] = Sales_All[[#This Row],[CustomerID]], Sales_All[Product], ""))</f>
        <v>Tablet, Monitor, Headphones</v>
      </c>
    </row>
    <row r="86" spans="1:22" x14ac:dyDescent="0.3">
      <c r="A86" s="1" t="s">
        <v>101</v>
      </c>
      <c r="B86" s="3">
        <v>45895.845381944448</v>
      </c>
      <c r="C86" s="5" t="s">
        <v>8</v>
      </c>
      <c r="D86">
        <v>1006</v>
      </c>
      <c r="E86" s="5" t="s">
        <v>14</v>
      </c>
      <c r="F86" s="1" t="str">
        <f>_xlfn.XLOOKUP(Sales_All[[#This Row],[Product]], Product_List!A:A, Product_List!B:B,)</f>
        <v>Electronics</v>
      </c>
      <c r="G86" s="1">
        <f>_xlfn.XLOOKUP(Sales_All[[#This Row],[Product]], Product_List!A:A, Product_List!D:D)</f>
        <v>463</v>
      </c>
      <c r="H86" s="7">
        <f>_xlfn.XLOOKUP(Sales_All[[#This Row],[Product]], Product_List!A:A, Product_List!E:E)</f>
        <v>0.23</v>
      </c>
      <c r="I86" s="4">
        <v>5</v>
      </c>
      <c r="J86" s="4">
        <v>757</v>
      </c>
      <c r="K86" s="3">
        <f>EOMONTH(Sales_All[[#This Row],[Date]],0)</f>
        <v>45900</v>
      </c>
      <c r="L86" s="1">
        <f>_xlfn.XLOOKUP(Sales_All[[#This Row],[Month]], Finance_Data!A:A, Finance_Data!B:B)</f>
        <v>36734</v>
      </c>
      <c r="M86" s="1">
        <f>_xlfn.XLOOKUP(Sales_All[[#This Row],[Month]], Finance_Data!A:A, Finance_Data!C:C, 0)</f>
        <v>93760</v>
      </c>
      <c r="N86" s="1">
        <f>(Sales_All[[#This Row],[Quantity]]*Sales_All[[#This Row],[UnitPrice]]) - (Sales_All[[#This Row],[Quantity]]*Sales_All[[#This Row],[UnitCost]])  - Sales_All[[#This Row],[Overheads]] -Sales_All[[#This Row],[Salaries]]</f>
        <v>-129024</v>
      </c>
      <c r="O86">
        <f>_xlfn.XLOOKUP(Sales_All[[#This Row],[OrderID]], Operations_Data!A:A, Operations_Data!B:B)</f>
        <v>4</v>
      </c>
      <c r="P86">
        <f>_xlfn.XLOOKUP(Sales_All[[#This Row],[OrderID]], Operations_Data!A:A, Operations_Data!C:C)</f>
        <v>0.05</v>
      </c>
      <c r="Q86" s="1">
        <f>Sales_All[[#This Row],[Quantity]]*Sales_All[[#This Row],[UnitPrice]]</f>
        <v>3785</v>
      </c>
      <c r="R86" s="1">
        <f>Sales_All[[#This Row],[Revenue]]*(1-Sales_All[[#This Row],[Discount]])</f>
        <v>2914.4500000000003</v>
      </c>
      <c r="S86" s="1">
        <f>Sales_All[[#This Row],[Revenue]] -(Sales_All[[#This Row],[Quantity]]*Sales_All[[#This Row],[UnitCost]])-Sales_All[[#This Row],[Overheads]]</f>
        <v>-35264</v>
      </c>
      <c r="T86" s="1" t="str" cm="1">
        <f t="array" ref="T86">_xlfn.IFS(Sales_All[[#This Row],[Revenue]]&gt;50000,"VIP",Sales_All[[#This Row],[Revenue]]&gt;=20000,"Regular",Sales_All[[#This Row],[Revenue]]&lt;20000,"Low Value")</f>
        <v>Low Value</v>
      </c>
      <c r="U86" s="1" t="str">
        <f>INDEX(Product_List!B:B, MATCH(Sales_All[[#This Row],[Product]], Product_List!A:A, 0))</f>
        <v>Electronics</v>
      </c>
      <c r="V86" s="1" t="str" cm="1">
        <f t="array" ref="V86">_xlfn.TEXTJOIN(", ", TRUE,IF(Sales_All[CustomerID] = Sales_All[[#This Row],[CustomerID]], Sales_All[Product], ""))</f>
        <v>Laptop, Laptop, Headphones, Monitor, Headphones, Monitor</v>
      </c>
    </row>
    <row r="87" spans="1:22" x14ac:dyDescent="0.3">
      <c r="A87" s="1" t="s">
        <v>102</v>
      </c>
      <c r="B87" s="3">
        <v>45858.359560185178</v>
      </c>
      <c r="C87" s="5" t="s">
        <v>13</v>
      </c>
      <c r="D87">
        <v>1017</v>
      </c>
      <c r="E87" s="5" t="s">
        <v>17</v>
      </c>
      <c r="F87" s="1" t="str">
        <f>_xlfn.XLOOKUP(Sales_All[[#This Row],[Product]], Product_List!A:A, Product_List!B:B,)</f>
        <v>Electronics</v>
      </c>
      <c r="G87" s="1">
        <f>_xlfn.XLOOKUP(Sales_All[[#This Row],[Product]], Product_List!A:A, Product_List!D:D)</f>
        <v>97</v>
      </c>
      <c r="H87" s="7">
        <f>_xlfn.XLOOKUP(Sales_All[[#This Row],[Product]], Product_List!A:A, Product_List!E:E)</f>
        <v>0.08</v>
      </c>
      <c r="I87" s="4">
        <v>9</v>
      </c>
      <c r="J87" s="4">
        <v>472</v>
      </c>
      <c r="K87" s="3">
        <f>EOMONTH(Sales_All[[#This Row],[Date]],0)</f>
        <v>45869</v>
      </c>
      <c r="L87" s="1">
        <f>_xlfn.XLOOKUP(Sales_All[[#This Row],[Month]], Finance_Data!A:A, Finance_Data!B:B)</f>
        <v>36304</v>
      </c>
      <c r="M87" s="1">
        <f>_xlfn.XLOOKUP(Sales_All[[#This Row],[Month]], Finance_Data!A:A, Finance_Data!C:C, 0)</f>
        <v>63297</v>
      </c>
      <c r="N87" s="1">
        <f>(Sales_All[[#This Row],[Quantity]]*Sales_All[[#This Row],[UnitPrice]]) - (Sales_All[[#This Row],[Quantity]]*Sales_All[[#This Row],[UnitCost]])  - Sales_All[[#This Row],[Overheads]] -Sales_All[[#This Row],[Salaries]]</f>
        <v>-96226</v>
      </c>
      <c r="O87">
        <f>_xlfn.XLOOKUP(Sales_All[[#This Row],[OrderID]], Operations_Data!A:A, Operations_Data!B:B)</f>
        <v>1</v>
      </c>
      <c r="P87">
        <f>_xlfn.XLOOKUP(Sales_All[[#This Row],[OrderID]], Operations_Data!A:A, Operations_Data!C:C)</f>
        <v>0.02</v>
      </c>
      <c r="Q87" s="1">
        <f>Sales_All[[#This Row],[Quantity]]*Sales_All[[#This Row],[UnitPrice]]</f>
        <v>4248</v>
      </c>
      <c r="R87" s="1">
        <f>Sales_All[[#This Row],[Revenue]]*(1-Sales_All[[#This Row],[Discount]])</f>
        <v>3908.1600000000003</v>
      </c>
      <c r="S87" s="1">
        <f>Sales_All[[#This Row],[Revenue]] -(Sales_All[[#This Row],[Quantity]]*Sales_All[[#This Row],[UnitCost]])-Sales_All[[#This Row],[Overheads]]</f>
        <v>-32929</v>
      </c>
      <c r="T87" s="1" t="str" cm="1">
        <f t="array" ref="T87">_xlfn.IFS(Sales_All[[#This Row],[Revenue]]&gt;50000,"VIP",Sales_All[[#This Row],[Revenue]]&gt;=20000,"Regular",Sales_All[[#This Row],[Revenue]]&lt;20000,"Low Value")</f>
        <v>Low Value</v>
      </c>
      <c r="U87" s="1" t="str">
        <f>INDEX(Product_List!B:B, MATCH(Sales_All[[#This Row],[Product]], Product_List!A:A, 0))</f>
        <v>Electronics</v>
      </c>
      <c r="V87" s="1" t="str" cm="1">
        <f t="array" ref="V87">_xlfn.TEXTJOIN(", ", TRUE,IF(Sales_All[CustomerID] = Sales_All[[#This Row],[CustomerID]], Sales_All[Product], ""))</f>
        <v>Tablet, Laptop, Printer, Laptop, Smartphone</v>
      </c>
    </row>
    <row r="88" spans="1:22" x14ac:dyDescent="0.3">
      <c r="A88" s="1" t="s">
        <v>103</v>
      </c>
      <c r="B88" s="3">
        <v>45862.545439814807</v>
      </c>
      <c r="C88" s="5" t="s">
        <v>16</v>
      </c>
      <c r="D88">
        <v>1002</v>
      </c>
      <c r="E88" s="5" t="s">
        <v>20</v>
      </c>
      <c r="F88" s="1" t="str">
        <f>_xlfn.XLOOKUP(Sales_All[[#This Row],[Product]], Product_List!A:A, Product_List!B:B,)</f>
        <v>Electronics</v>
      </c>
      <c r="G88" s="1">
        <f>_xlfn.XLOOKUP(Sales_All[[#This Row],[Product]], Product_List!A:A, Product_List!D:D)</f>
        <v>469</v>
      </c>
      <c r="H88" s="7">
        <f>_xlfn.XLOOKUP(Sales_All[[#This Row],[Product]], Product_List!A:A, Product_List!E:E)</f>
        <v>0.22</v>
      </c>
      <c r="I88" s="4">
        <v>9</v>
      </c>
      <c r="J88" s="4">
        <v>132</v>
      </c>
      <c r="K88" s="3">
        <f>EOMONTH(Sales_All[[#This Row],[Date]],0)</f>
        <v>45869</v>
      </c>
      <c r="L88" s="1">
        <f>_xlfn.XLOOKUP(Sales_All[[#This Row],[Month]], Finance_Data!A:A, Finance_Data!B:B)</f>
        <v>36304</v>
      </c>
      <c r="M88" s="1">
        <f>_xlfn.XLOOKUP(Sales_All[[#This Row],[Month]], Finance_Data!A:A, Finance_Data!C:C, 0)</f>
        <v>63297</v>
      </c>
      <c r="N88" s="1">
        <f>(Sales_All[[#This Row],[Quantity]]*Sales_All[[#This Row],[UnitPrice]]) - (Sales_All[[#This Row],[Quantity]]*Sales_All[[#This Row],[UnitCost]])  - Sales_All[[#This Row],[Overheads]] -Sales_All[[#This Row],[Salaries]]</f>
        <v>-102634</v>
      </c>
      <c r="O88">
        <f>_xlfn.XLOOKUP(Sales_All[[#This Row],[OrderID]], Operations_Data!A:A, Operations_Data!B:B)</f>
        <v>7</v>
      </c>
      <c r="P88">
        <f>_xlfn.XLOOKUP(Sales_All[[#This Row],[OrderID]], Operations_Data!A:A, Operations_Data!C:C)</f>
        <v>0.01</v>
      </c>
      <c r="Q88" s="1">
        <f>Sales_All[[#This Row],[Quantity]]*Sales_All[[#This Row],[UnitPrice]]</f>
        <v>1188</v>
      </c>
      <c r="R88" s="1">
        <f>Sales_All[[#This Row],[Revenue]]*(1-Sales_All[[#This Row],[Discount]])</f>
        <v>926.64</v>
      </c>
      <c r="S88" s="1">
        <f>Sales_All[[#This Row],[Revenue]] -(Sales_All[[#This Row],[Quantity]]*Sales_All[[#This Row],[UnitCost]])-Sales_All[[#This Row],[Overheads]]</f>
        <v>-39337</v>
      </c>
      <c r="T88" s="1" t="str" cm="1">
        <f t="array" ref="T88">_xlfn.IFS(Sales_All[[#This Row],[Revenue]]&gt;50000,"VIP",Sales_All[[#This Row],[Revenue]]&gt;=20000,"Regular",Sales_All[[#This Row],[Revenue]]&lt;20000,"Low Value")</f>
        <v>Low Value</v>
      </c>
      <c r="U88" s="1" t="str">
        <f>INDEX(Product_List!B:B, MATCH(Sales_All[[#This Row],[Product]], Product_List!A:A, 0))</f>
        <v>Electronics</v>
      </c>
      <c r="V88" s="1" t="str" cm="1">
        <f t="array" ref="V88">_xlfn.TEXTJOIN(", ", TRUE,IF(Sales_All[CustomerID] = Sales_All[[#This Row],[CustomerID]], Sales_All[Product], ""))</f>
        <v>Tablet, Laptop, Headphones, Laptop</v>
      </c>
    </row>
    <row r="89" spans="1:22" x14ac:dyDescent="0.3">
      <c r="A89" s="1" t="s">
        <v>104</v>
      </c>
      <c r="B89" s="3">
        <v>45861.291134259263</v>
      </c>
      <c r="C89" s="5" t="s">
        <v>19</v>
      </c>
      <c r="D89">
        <v>1018</v>
      </c>
      <c r="E89" s="5" t="s">
        <v>20</v>
      </c>
      <c r="F89" s="1" t="str">
        <f>_xlfn.XLOOKUP(Sales_All[[#This Row],[Product]], Product_List!A:A, Product_List!B:B,)</f>
        <v>Electronics</v>
      </c>
      <c r="G89" s="1">
        <f>_xlfn.XLOOKUP(Sales_All[[#This Row],[Product]], Product_List!A:A, Product_List!D:D)</f>
        <v>469</v>
      </c>
      <c r="H89" s="7">
        <f>_xlfn.XLOOKUP(Sales_All[[#This Row],[Product]], Product_List!A:A, Product_List!E:E)</f>
        <v>0.22</v>
      </c>
      <c r="I89" s="4">
        <v>4</v>
      </c>
      <c r="J89" s="4">
        <v>1817</v>
      </c>
      <c r="K89" s="3">
        <f>EOMONTH(Sales_All[[#This Row],[Date]],0)</f>
        <v>45869</v>
      </c>
      <c r="L89" s="1">
        <f>_xlfn.XLOOKUP(Sales_All[[#This Row],[Month]], Finance_Data!A:A, Finance_Data!B:B)</f>
        <v>36304</v>
      </c>
      <c r="M89" s="1">
        <f>_xlfn.XLOOKUP(Sales_All[[#This Row],[Month]], Finance_Data!A:A, Finance_Data!C:C, 0)</f>
        <v>63297</v>
      </c>
      <c r="N89" s="1">
        <f>(Sales_All[[#This Row],[Quantity]]*Sales_All[[#This Row],[UnitPrice]]) - (Sales_All[[#This Row],[Quantity]]*Sales_All[[#This Row],[UnitCost]])  - Sales_All[[#This Row],[Overheads]] -Sales_All[[#This Row],[Salaries]]</f>
        <v>-94209</v>
      </c>
      <c r="O89">
        <f>_xlfn.XLOOKUP(Sales_All[[#This Row],[OrderID]], Operations_Data!A:A, Operations_Data!B:B)</f>
        <v>3</v>
      </c>
      <c r="P89">
        <f>_xlfn.XLOOKUP(Sales_All[[#This Row],[OrderID]], Operations_Data!A:A, Operations_Data!C:C)</f>
        <v>0.1</v>
      </c>
      <c r="Q89" s="1">
        <f>Sales_All[[#This Row],[Quantity]]*Sales_All[[#This Row],[UnitPrice]]</f>
        <v>7268</v>
      </c>
      <c r="R89" s="1">
        <f>Sales_All[[#This Row],[Revenue]]*(1-Sales_All[[#This Row],[Discount]])</f>
        <v>5669.04</v>
      </c>
      <c r="S89" s="1">
        <f>Sales_All[[#This Row],[Revenue]] -(Sales_All[[#This Row],[Quantity]]*Sales_All[[#This Row],[UnitCost]])-Sales_All[[#This Row],[Overheads]]</f>
        <v>-30912</v>
      </c>
      <c r="T89" s="1" t="str" cm="1">
        <f t="array" ref="T89">_xlfn.IFS(Sales_All[[#This Row],[Revenue]]&gt;50000,"VIP",Sales_All[[#This Row],[Revenue]]&gt;=20000,"Regular",Sales_All[[#This Row],[Revenue]]&lt;20000,"Low Value")</f>
        <v>Low Value</v>
      </c>
      <c r="U89" s="1" t="str">
        <f>INDEX(Product_List!B:B, MATCH(Sales_All[[#This Row],[Product]], Product_List!A:A, 0))</f>
        <v>Electronics</v>
      </c>
      <c r="V89" s="1" t="str" cm="1">
        <f t="array" ref="V89">_xlfn.TEXTJOIN(", ", TRUE,IF(Sales_All[CustomerID] = Sales_All[[#This Row],[CustomerID]], Sales_All[Product], ""))</f>
        <v>Tablet, Smartphone, Headphones, Headphones, Monitor, Laptop</v>
      </c>
    </row>
    <row r="90" spans="1:22" x14ac:dyDescent="0.3">
      <c r="A90" s="1" t="s">
        <v>105</v>
      </c>
      <c r="B90" s="3">
        <v>45889.657800925917</v>
      </c>
      <c r="C90" s="5" t="s">
        <v>19</v>
      </c>
      <c r="D90">
        <v>1019</v>
      </c>
      <c r="E90" s="5" t="s">
        <v>14</v>
      </c>
      <c r="F90" s="1" t="str">
        <f>_xlfn.XLOOKUP(Sales_All[[#This Row],[Product]], Product_List!A:A, Product_List!B:B,)</f>
        <v>Electronics</v>
      </c>
      <c r="G90" s="1">
        <f>_xlfn.XLOOKUP(Sales_All[[#This Row],[Product]], Product_List!A:A, Product_List!D:D)</f>
        <v>463</v>
      </c>
      <c r="H90" s="7">
        <f>_xlfn.XLOOKUP(Sales_All[[#This Row],[Product]], Product_List!A:A, Product_List!E:E)</f>
        <v>0.23</v>
      </c>
      <c r="I90" s="4">
        <v>5</v>
      </c>
      <c r="J90" s="4">
        <v>698</v>
      </c>
      <c r="K90" s="3">
        <f>EOMONTH(Sales_All[[#This Row],[Date]],0)</f>
        <v>45900</v>
      </c>
      <c r="L90" s="1">
        <f>_xlfn.XLOOKUP(Sales_All[[#This Row],[Month]], Finance_Data!A:A, Finance_Data!B:B)</f>
        <v>36734</v>
      </c>
      <c r="M90" s="1">
        <f>_xlfn.XLOOKUP(Sales_All[[#This Row],[Month]], Finance_Data!A:A, Finance_Data!C:C, 0)</f>
        <v>93760</v>
      </c>
      <c r="N90" s="1">
        <f>(Sales_All[[#This Row],[Quantity]]*Sales_All[[#This Row],[UnitPrice]]) - (Sales_All[[#This Row],[Quantity]]*Sales_All[[#This Row],[UnitCost]])  - Sales_All[[#This Row],[Overheads]] -Sales_All[[#This Row],[Salaries]]</f>
        <v>-129319</v>
      </c>
      <c r="O90">
        <f>_xlfn.XLOOKUP(Sales_All[[#This Row],[OrderID]], Operations_Data!A:A, Operations_Data!B:B)</f>
        <v>4</v>
      </c>
      <c r="P90">
        <f>_xlfn.XLOOKUP(Sales_All[[#This Row],[OrderID]], Operations_Data!A:A, Operations_Data!C:C)</f>
        <v>7.0000000000000007E-2</v>
      </c>
      <c r="Q90" s="1">
        <f>Sales_All[[#This Row],[Quantity]]*Sales_All[[#This Row],[UnitPrice]]</f>
        <v>3490</v>
      </c>
      <c r="R90" s="1">
        <f>Sales_All[[#This Row],[Revenue]]*(1-Sales_All[[#This Row],[Discount]])</f>
        <v>2687.3</v>
      </c>
      <c r="S90" s="1">
        <f>Sales_All[[#This Row],[Revenue]] -(Sales_All[[#This Row],[Quantity]]*Sales_All[[#This Row],[UnitCost]])-Sales_All[[#This Row],[Overheads]]</f>
        <v>-35559</v>
      </c>
      <c r="T90" s="1" t="str" cm="1">
        <f t="array" ref="T90">_xlfn.IFS(Sales_All[[#This Row],[Revenue]]&gt;50000,"VIP",Sales_All[[#This Row],[Revenue]]&gt;=20000,"Regular",Sales_All[[#This Row],[Revenue]]&lt;20000,"Low Value")</f>
        <v>Low Value</v>
      </c>
      <c r="U90" s="1" t="str">
        <f>INDEX(Product_List!B:B, MATCH(Sales_All[[#This Row],[Product]], Product_List!A:A, 0))</f>
        <v>Electronics</v>
      </c>
      <c r="V90" s="1" t="str" cm="1">
        <f t="array" ref="V90">_xlfn.TEXTJOIN(", ", TRUE,IF(Sales_All[CustomerID] = Sales_All[[#This Row],[CustomerID]], Sales_All[Product], ""))</f>
        <v>Laptop, Laptop, Headphones, Laptop, Tablet, Tablet, Monitor</v>
      </c>
    </row>
    <row r="91" spans="1:22" x14ac:dyDescent="0.3">
      <c r="A91" s="1" t="s">
        <v>106</v>
      </c>
      <c r="B91" s="3">
        <v>45898.258506944447</v>
      </c>
      <c r="C91" s="5" t="s">
        <v>13</v>
      </c>
      <c r="D91">
        <v>1003</v>
      </c>
      <c r="E91" s="5" t="s">
        <v>14</v>
      </c>
      <c r="F91" s="1" t="str">
        <f>_xlfn.XLOOKUP(Sales_All[[#This Row],[Product]], Product_List!A:A, Product_List!B:B,)</f>
        <v>Electronics</v>
      </c>
      <c r="G91" s="1">
        <f>_xlfn.XLOOKUP(Sales_All[[#This Row],[Product]], Product_List!A:A, Product_List!D:D)</f>
        <v>463</v>
      </c>
      <c r="H91" s="7">
        <f>_xlfn.XLOOKUP(Sales_All[[#This Row],[Product]], Product_List!A:A, Product_List!E:E)</f>
        <v>0.23</v>
      </c>
      <c r="I91" s="4">
        <v>3</v>
      </c>
      <c r="J91" s="4">
        <v>651</v>
      </c>
      <c r="K91" s="3">
        <f>EOMONTH(Sales_All[[#This Row],[Date]],0)</f>
        <v>45900</v>
      </c>
      <c r="L91" s="1">
        <f>_xlfn.XLOOKUP(Sales_All[[#This Row],[Month]], Finance_Data!A:A, Finance_Data!B:B)</f>
        <v>36734</v>
      </c>
      <c r="M91" s="1">
        <f>_xlfn.XLOOKUP(Sales_All[[#This Row],[Month]], Finance_Data!A:A, Finance_Data!C:C, 0)</f>
        <v>93760</v>
      </c>
      <c r="N91" s="1">
        <f>(Sales_All[[#This Row],[Quantity]]*Sales_All[[#This Row],[UnitPrice]]) - (Sales_All[[#This Row],[Quantity]]*Sales_All[[#This Row],[UnitCost]])  - Sales_All[[#This Row],[Overheads]] -Sales_All[[#This Row],[Salaries]]</f>
        <v>-129930</v>
      </c>
      <c r="O91">
        <f>_xlfn.XLOOKUP(Sales_All[[#This Row],[OrderID]], Operations_Data!A:A, Operations_Data!B:B)</f>
        <v>5</v>
      </c>
      <c r="P91">
        <f>_xlfn.XLOOKUP(Sales_All[[#This Row],[OrderID]], Operations_Data!A:A, Operations_Data!C:C)</f>
        <v>0.09</v>
      </c>
      <c r="Q91" s="1">
        <f>Sales_All[[#This Row],[Quantity]]*Sales_All[[#This Row],[UnitPrice]]</f>
        <v>1953</v>
      </c>
      <c r="R91" s="1">
        <f>Sales_All[[#This Row],[Revenue]]*(1-Sales_All[[#This Row],[Discount]])</f>
        <v>1503.81</v>
      </c>
      <c r="S91" s="1">
        <f>Sales_All[[#This Row],[Revenue]] -(Sales_All[[#This Row],[Quantity]]*Sales_All[[#This Row],[UnitCost]])-Sales_All[[#This Row],[Overheads]]</f>
        <v>-36170</v>
      </c>
      <c r="T91" s="1" t="str" cm="1">
        <f t="array" ref="T91">_xlfn.IFS(Sales_All[[#This Row],[Revenue]]&gt;50000,"VIP",Sales_All[[#This Row],[Revenue]]&gt;=20000,"Regular",Sales_All[[#This Row],[Revenue]]&lt;20000,"Low Value")</f>
        <v>Low Value</v>
      </c>
      <c r="U91" s="1" t="str">
        <f>INDEX(Product_List!B:B, MATCH(Sales_All[[#This Row],[Product]], Product_List!A:A, 0))</f>
        <v>Electronics</v>
      </c>
      <c r="V91" s="1" t="str" cm="1">
        <f t="array" ref="V91">_xlfn.TEXTJOIN(", ", TRUE,IF(Sales_All[CustomerID] = Sales_All[[#This Row],[CustomerID]], Sales_All[Product], ""))</f>
        <v>Printer, Monitor, Headphones, Monitor</v>
      </c>
    </row>
  </sheetData>
  <sheetProtection selectLockedCells="1"/>
  <conditionalFormatting sqref="Q2:Q91">
    <cfRule type="top10" dxfId="5" priority="8" percent="1" rank="10"/>
  </conditionalFormatting>
  <conditionalFormatting sqref="Q1:Q1048576">
    <cfRule type="top10" dxfId="4" priority="7" rank="10"/>
  </conditionalFormatting>
  <conditionalFormatting sqref="A1:XFD1048576">
    <cfRule type="expression" priority="5">
      <formula>AND($Q2&gt;25000,$P2&gt;5%)</formula>
    </cfRule>
  </conditionalFormatting>
  <conditionalFormatting sqref="A1:V91">
    <cfRule type="expression" priority="3">
      <formula>AND($Q2&gt;25000,$P2&gt;5%)</formula>
    </cfRule>
    <cfRule type="expression" dxfId="3" priority="2">
      <formula>AND($Q2&gt;25000, $P2&gt;5%)</formula>
    </cfRule>
  </conditionalFormatting>
  <conditionalFormatting sqref="O1:O1048576">
    <cfRule type="iconSet" priority="1">
      <iconSet>
        <cfvo type="percent" val="0"/>
        <cfvo type="percent" val="33"/>
        <cfvo type="percent" val="67"/>
      </iconSet>
    </cfRule>
  </conditionalFormatting>
  <dataValidations count="1">
    <dataValidation type="list" allowBlank="1" showInputMessage="1" showErrorMessage="1" sqref="E1:E1048576" xr:uid="{106F2138-D224-4A87-A212-67D8DF9AFFFA}">
      <formula1>INDIRECT($F$2)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C3CF3CA-39D1-4BA6-AFEE-8E4B95EE170B}">
          <x14:formula1>
            <xm:f>Summary!$A$2:$A$5</xm:f>
          </x14:formula1>
          <xm:sqref>C1:C1048576</xm:sqref>
        </x14:dataValidation>
        <x14:dataValidation type="list" allowBlank="1" showInputMessage="1" showErrorMessage="1" xr:uid="{F8A8E415-DD53-47B2-AAA4-1D73BD5269AF}">
          <x14:formula1>
            <xm:f>Product_List!$B$2:$B$7</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5C001-ECDB-4E07-9D6B-CCC12DB5E1C7}">
  <dimension ref="B1:K91"/>
  <sheetViews>
    <sheetView workbookViewId="0">
      <selection activeCell="K17" sqref="K17"/>
    </sheetView>
  </sheetViews>
  <sheetFormatPr defaultRowHeight="14.4" x14ac:dyDescent="0.3"/>
  <cols>
    <col min="1" max="1" width="9.77734375" bestFit="1" customWidth="1"/>
    <col min="2" max="2" width="12" style="3" bestFit="1" customWidth="1"/>
    <col min="3" max="3" width="8.77734375" style="4" bestFit="1" customWidth="1"/>
    <col min="4" max="4" width="13.109375" bestFit="1" customWidth="1"/>
    <col min="5" max="5" width="11.21875" style="4" bestFit="1" customWidth="1"/>
    <col min="6" max="7" width="11.21875" customWidth="1"/>
    <col min="8" max="8" width="11.21875" style="6" customWidth="1"/>
    <col min="9" max="9" width="10.33203125" style="4" bestFit="1" customWidth="1"/>
    <col min="10" max="10" width="11" style="4" bestFit="1" customWidth="1"/>
    <col min="11" max="11" width="10.33203125" style="3" bestFit="1" customWidth="1"/>
    <col min="12" max="12" width="12.109375" bestFit="1" customWidth="1"/>
    <col min="13" max="14" width="12.109375" customWidth="1"/>
    <col min="15" max="15" width="14.33203125" bestFit="1" customWidth="1"/>
    <col min="16" max="16" width="12.77734375" bestFit="1" customWidth="1"/>
    <col min="17" max="17" width="10.21875" bestFit="1" customWidth="1"/>
    <col min="18" max="18" width="20.21875" bestFit="1" customWidth="1"/>
    <col min="20" max="20" width="15.6640625" bestFit="1" customWidth="1"/>
    <col min="21" max="21" width="16.109375" bestFit="1" customWidth="1"/>
    <col min="22" max="22" width="64.77734375" bestFit="1"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sheetData>
  <sheetProtection selectLockedCells="1"/>
  <dataValidations count="1">
    <dataValidation type="list" allowBlank="1" showInputMessage="1" showErrorMessage="1" sqref="E92:E1048576" xr:uid="{37E22F0A-C167-409F-AD47-4324837FB5B3}">
      <formula1>INDIRECT(#REF!)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27F67C6-A9B0-42A3-A13F-698BC02DCFC3}">
          <x14:formula1>
            <xm:f>Product_List!$B$2:$B$7</xm:f>
          </x14:formula1>
          <xm:sqref>F1:F1048576</xm:sqref>
        </x14:dataValidation>
        <x14:dataValidation type="list" allowBlank="1" showInputMessage="1" showErrorMessage="1" xr:uid="{C381F765-66DF-4456-82E8-72CD18043D96}">
          <x14:formula1>
            <xm:f>Summary!$A$2:$A$5</xm:f>
          </x14:formula1>
          <xm:sqref>C1:C1048576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F237-166B-4A63-8B8E-C4FC9F32401A}">
  <dimension ref="A1:C5"/>
  <sheetViews>
    <sheetView workbookViewId="0">
      <selection activeCell="A6" sqref="A6"/>
    </sheetView>
  </sheetViews>
  <sheetFormatPr defaultRowHeight="14.4" x14ac:dyDescent="0.3"/>
  <cols>
    <col min="1" max="1" width="10" bestFit="1" customWidth="1"/>
    <col min="2" max="2" width="10.88671875" bestFit="1" customWidth="1"/>
  </cols>
  <sheetData>
    <row r="1" spans="1:3" x14ac:dyDescent="0.3">
      <c r="A1" t="s">
        <v>156</v>
      </c>
      <c r="B1" t="s">
        <v>157</v>
      </c>
      <c r="C1" t="s">
        <v>158</v>
      </c>
    </row>
    <row r="2" spans="1:3" x14ac:dyDescent="0.3">
      <c r="A2" t="s">
        <v>20</v>
      </c>
      <c r="B2" t="s">
        <v>11</v>
      </c>
      <c r="C2" t="s">
        <v>25</v>
      </c>
    </row>
    <row r="3" spans="1:3" x14ac:dyDescent="0.3">
      <c r="A3" t="s">
        <v>9</v>
      </c>
      <c r="B3" t="s">
        <v>179</v>
      </c>
    </row>
    <row r="4" spans="1:3" x14ac:dyDescent="0.3">
      <c r="A4" t="s">
        <v>17</v>
      </c>
    </row>
    <row r="5" spans="1:3" x14ac:dyDescent="0.3">
      <c r="A5"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63FF1-F4FC-4C5E-B8CC-08C34581B89A}">
  <dimension ref="A1:C5"/>
  <sheetViews>
    <sheetView workbookViewId="0">
      <selection activeCell="A2" sqref="A2"/>
    </sheetView>
  </sheetViews>
  <sheetFormatPr defaultRowHeight="14.4" x14ac:dyDescent="0.3"/>
  <cols>
    <col min="3" max="3" width="18.5546875" bestFit="1" customWidth="1"/>
  </cols>
  <sheetData>
    <row r="1" spans="1:3" x14ac:dyDescent="0.3">
      <c r="A1" t="s">
        <v>2</v>
      </c>
      <c r="B1" t="s">
        <v>176</v>
      </c>
      <c r="C1" t="s">
        <v>177</v>
      </c>
    </row>
    <row r="2" spans="1:3" x14ac:dyDescent="0.3">
      <c r="A2" t="str" cm="1">
        <f t="array" ref="A2:A5">_xlfn.UNIQUE(Sales_All[Region])</f>
        <v>South</v>
      </c>
      <c r="B2">
        <f>COUNTIF(Sales_All[Region], A2)</f>
        <v>23</v>
      </c>
      <c r="C2">
        <f>AVERAGEIF(Sales_All[Region],A2,Sales_All[Delivery Days])</f>
        <v>5.4347826086956523</v>
      </c>
    </row>
    <row r="3" spans="1:3" x14ac:dyDescent="0.3">
      <c r="A3" t="str">
        <v>West</v>
      </c>
      <c r="B3">
        <f>COUNTIF(Sales_All[Region], A3)</f>
        <v>24</v>
      </c>
      <c r="C3">
        <f>AVERAGEIF(Sales_All[Region],A3,Sales_All[Delivery Days])</f>
        <v>5.083333333333333</v>
      </c>
    </row>
    <row r="4" spans="1:3" x14ac:dyDescent="0.3">
      <c r="A4" t="str">
        <v>East</v>
      </c>
      <c r="B4">
        <f>COUNTIF(Sales_All[Region], A4)</f>
        <v>21</v>
      </c>
      <c r="C4">
        <f>AVERAGEIF(Sales_All[Region],A4,Sales_All[Delivery Days])</f>
        <v>4.3809523809523814</v>
      </c>
    </row>
    <row r="5" spans="1:3" x14ac:dyDescent="0.3">
      <c r="A5" t="str">
        <v>North</v>
      </c>
      <c r="B5">
        <f>COUNTIF(Sales_All[Region], A5)</f>
        <v>22</v>
      </c>
      <c r="C5">
        <f>AVERAGEIF(Sales_All[Region],A5,Sales_All[Delivery Days])</f>
        <v>4.5909090909090908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E471E-089B-4C2D-A86A-CF3E98639BF9}">
  <dimension ref="A1:H29"/>
  <sheetViews>
    <sheetView workbookViewId="0">
      <selection activeCell="J12" sqref="J12"/>
    </sheetView>
  </sheetViews>
  <sheetFormatPr defaultRowHeight="14.4" x14ac:dyDescent="0.3"/>
  <cols>
    <col min="1" max="1" width="13.109375" bestFit="1" customWidth="1"/>
    <col min="2" max="2" width="12" bestFit="1" customWidth="1"/>
    <col min="3" max="3" width="11.6640625" bestFit="1" customWidth="1"/>
    <col min="4" max="4" width="27.5546875" bestFit="1" customWidth="1"/>
    <col min="5" max="5" width="8.77734375" bestFit="1" customWidth="1"/>
    <col min="6" max="6" width="13.77734375" bestFit="1" customWidth="1"/>
    <col min="7" max="7" width="16.33203125" bestFit="1" customWidth="1"/>
    <col min="8" max="9" width="11.88671875" bestFit="1" customWidth="1"/>
  </cols>
  <sheetData>
    <row r="1" spans="1:8" x14ac:dyDescent="0.3">
      <c r="A1" t="s">
        <v>3</v>
      </c>
      <c r="B1" t="s">
        <v>107</v>
      </c>
      <c r="C1" t="s">
        <v>108</v>
      </c>
      <c r="D1" t="s">
        <v>109</v>
      </c>
      <c r="E1" t="s">
        <v>2</v>
      </c>
      <c r="F1" t="s">
        <v>167</v>
      </c>
      <c r="G1" t="s">
        <v>168</v>
      </c>
      <c r="H1" t="s">
        <v>110</v>
      </c>
    </row>
    <row r="2" spans="1:8" x14ac:dyDescent="0.3">
      <c r="A2">
        <v>1001</v>
      </c>
      <c r="B2" s="1" t="s">
        <v>111</v>
      </c>
      <c r="C2" s="1" t="s">
        <v>112</v>
      </c>
      <c r="D2" s="1" t="s">
        <v>113</v>
      </c>
      <c r="E2" s="1" t="s">
        <v>16</v>
      </c>
      <c r="F2" s="1" t="str">
        <f>PROPER(Customers[[#This Row],[FirstName]])</f>
        <v>Naledi</v>
      </c>
      <c r="G2" s="1" t="str">
        <f>PROPER(Customers[[#This Row],[LastName]])</f>
        <v>Pillay</v>
      </c>
      <c r="H2" s="1" t="s">
        <v>114</v>
      </c>
    </row>
    <row r="3" spans="1:8" x14ac:dyDescent="0.3">
      <c r="A3">
        <v>1002</v>
      </c>
      <c r="B3" s="1" t="s">
        <v>115</v>
      </c>
      <c r="C3" s="1" t="s">
        <v>116</v>
      </c>
      <c r="D3" s="1" t="s">
        <v>117</v>
      </c>
      <c r="E3" s="1" t="s">
        <v>16</v>
      </c>
      <c r="F3" s="1" t="str">
        <f>PROPER(Customers[[#This Row],[FirstName]])</f>
        <v>Michael</v>
      </c>
      <c r="G3" s="1" t="str">
        <f>PROPER(Customers[[#This Row],[LastName]])</f>
        <v>Van Wyk</v>
      </c>
      <c r="H3" s="1" t="s">
        <v>114</v>
      </c>
    </row>
    <row r="4" spans="1:8" x14ac:dyDescent="0.3">
      <c r="A4">
        <v>1003</v>
      </c>
      <c r="B4" s="1" t="s">
        <v>111</v>
      </c>
      <c r="C4" s="1" t="s">
        <v>118</v>
      </c>
      <c r="D4" s="1" t="s">
        <v>119</v>
      </c>
      <c r="E4" s="1" t="s">
        <v>16</v>
      </c>
      <c r="F4" s="1" t="str">
        <f>PROPER(Customers[[#This Row],[FirstName]])</f>
        <v>Naledi</v>
      </c>
      <c r="G4" s="1" t="str">
        <f>PROPER(Customers[[#This Row],[LastName]])</f>
        <v>Botha</v>
      </c>
      <c r="H4" s="1" t="s">
        <v>114</v>
      </c>
    </row>
    <row r="5" spans="1:8" x14ac:dyDescent="0.3">
      <c r="A5">
        <v>1004</v>
      </c>
      <c r="B5" s="1" t="s">
        <v>111</v>
      </c>
      <c r="C5" s="1" t="s">
        <v>118</v>
      </c>
      <c r="D5" s="1" t="s">
        <v>119</v>
      </c>
      <c r="E5" s="1" t="s">
        <v>19</v>
      </c>
      <c r="F5" s="1" t="str">
        <f>PROPER(Customers[[#This Row],[FirstName]])</f>
        <v>Naledi</v>
      </c>
      <c r="G5" s="1" t="str">
        <f>PROPER(Customers[[#This Row],[LastName]])</f>
        <v>Botha</v>
      </c>
      <c r="H5" s="1" t="s">
        <v>114</v>
      </c>
    </row>
    <row r="6" spans="1:8" x14ac:dyDescent="0.3">
      <c r="A6">
        <v>1005</v>
      </c>
      <c r="B6" s="1" t="s">
        <v>115</v>
      </c>
      <c r="C6" s="1" t="s">
        <v>120</v>
      </c>
      <c r="D6" s="1" t="s">
        <v>121</v>
      </c>
      <c r="E6" s="1" t="s">
        <v>19</v>
      </c>
      <c r="F6" s="1" t="str">
        <f>PROPER(Customers[[#This Row],[FirstName]])</f>
        <v>Michael</v>
      </c>
      <c r="G6" s="1" t="str">
        <f>PROPER(Customers[[#This Row],[LastName]])</f>
        <v>Johnson</v>
      </c>
      <c r="H6" s="1" t="s">
        <v>114</v>
      </c>
    </row>
    <row r="7" spans="1:8" x14ac:dyDescent="0.3">
      <c r="A7">
        <v>1006</v>
      </c>
      <c r="B7" s="1" t="s">
        <v>122</v>
      </c>
      <c r="C7" s="1" t="s">
        <v>120</v>
      </c>
      <c r="D7" s="1" t="s">
        <v>123</v>
      </c>
      <c r="E7" s="1" t="s">
        <v>8</v>
      </c>
      <c r="F7" s="1" t="str">
        <f>PROPER(Customers[[#This Row],[FirstName]])</f>
        <v>Emily</v>
      </c>
      <c r="G7" s="1" t="str">
        <f>PROPER(Customers[[#This Row],[LastName]])</f>
        <v>Johnson</v>
      </c>
      <c r="H7" s="1" t="s">
        <v>114</v>
      </c>
    </row>
    <row r="8" spans="1:8" x14ac:dyDescent="0.3">
      <c r="A8">
        <v>1007</v>
      </c>
      <c r="B8" s="1" t="s">
        <v>115</v>
      </c>
      <c r="C8" s="1" t="s">
        <v>124</v>
      </c>
      <c r="D8" s="1" t="s">
        <v>125</v>
      </c>
      <c r="E8" s="1" t="s">
        <v>13</v>
      </c>
      <c r="F8" s="1" t="str">
        <f>PROPER(Customers[[#This Row],[FirstName]])</f>
        <v>Michael</v>
      </c>
      <c r="G8" s="1" t="str">
        <f>PROPER(Customers[[#This Row],[LastName]])</f>
        <v>Nguyen</v>
      </c>
      <c r="H8" s="1" t="s">
        <v>114</v>
      </c>
    </row>
    <row r="9" spans="1:8" x14ac:dyDescent="0.3">
      <c r="A9">
        <v>1008</v>
      </c>
      <c r="B9" s="1" t="s">
        <v>126</v>
      </c>
      <c r="C9" s="1" t="s">
        <v>120</v>
      </c>
      <c r="D9" s="1" t="s">
        <v>127</v>
      </c>
      <c r="E9" s="1" t="s">
        <v>16</v>
      </c>
      <c r="F9" s="1" t="str">
        <f>PROPER(Customers[[#This Row],[FirstName]])</f>
        <v>Sipho</v>
      </c>
      <c r="G9" s="1" t="str">
        <f>PROPER(Customers[[#This Row],[LastName]])</f>
        <v>Johnson</v>
      </c>
      <c r="H9" s="1" t="s">
        <v>114</v>
      </c>
    </row>
    <row r="10" spans="1:8" x14ac:dyDescent="0.3">
      <c r="A10">
        <v>1009</v>
      </c>
      <c r="B10" s="1" t="s">
        <v>128</v>
      </c>
      <c r="C10" s="1" t="s">
        <v>124</v>
      </c>
      <c r="D10" s="1" t="s">
        <v>129</v>
      </c>
      <c r="E10" s="1" t="s">
        <v>19</v>
      </c>
      <c r="F10" s="1" t="str">
        <f>PROPER(Customers[[#This Row],[FirstName]])</f>
        <v>Sarah</v>
      </c>
      <c r="G10" s="1" t="str">
        <f>PROPER(Customers[[#This Row],[LastName]])</f>
        <v>Nguyen</v>
      </c>
      <c r="H10" s="1" t="s">
        <v>114</v>
      </c>
    </row>
    <row r="11" spans="1:8" x14ac:dyDescent="0.3">
      <c r="A11">
        <v>1010</v>
      </c>
      <c r="B11" s="1" t="s">
        <v>130</v>
      </c>
      <c r="C11" s="1" t="s">
        <v>131</v>
      </c>
      <c r="D11" s="1" t="s">
        <v>132</v>
      </c>
      <c r="E11" s="1" t="s">
        <v>16</v>
      </c>
      <c r="F11" s="1" t="str">
        <f>PROPER(Customers[[#This Row],[FirstName]])</f>
        <v>John</v>
      </c>
      <c r="G11" s="1" t="str">
        <f>PROPER(Customers[[#This Row],[LastName]])</f>
        <v>Brown</v>
      </c>
      <c r="H11" s="1" t="s">
        <v>114</v>
      </c>
    </row>
    <row r="12" spans="1:8" x14ac:dyDescent="0.3">
      <c r="A12">
        <v>1011</v>
      </c>
      <c r="B12" s="1" t="s">
        <v>130</v>
      </c>
      <c r="C12" s="1" t="s">
        <v>133</v>
      </c>
      <c r="D12" s="1" t="s">
        <v>134</v>
      </c>
      <c r="E12" s="1" t="s">
        <v>8</v>
      </c>
      <c r="F12" s="1" t="str">
        <f>PROPER(Customers[[#This Row],[FirstName]])</f>
        <v>John</v>
      </c>
      <c r="G12" s="1" t="str">
        <f>PROPER(Customers[[#This Row],[LastName]])</f>
        <v>Smith</v>
      </c>
      <c r="H12" s="1" t="s">
        <v>114</v>
      </c>
    </row>
    <row r="13" spans="1:8" x14ac:dyDescent="0.3">
      <c r="A13">
        <v>1012</v>
      </c>
      <c r="B13" s="1" t="s">
        <v>111</v>
      </c>
      <c r="C13" s="1" t="s">
        <v>116</v>
      </c>
      <c r="D13" s="1" t="s">
        <v>135</v>
      </c>
      <c r="E13" s="1" t="s">
        <v>16</v>
      </c>
      <c r="F13" s="1" t="str">
        <f>PROPER(Customers[[#This Row],[FirstName]])</f>
        <v>Naledi</v>
      </c>
      <c r="G13" s="1" t="str">
        <f>PROPER(Customers[[#This Row],[LastName]])</f>
        <v>Van Wyk</v>
      </c>
      <c r="H13" s="1" t="s">
        <v>114</v>
      </c>
    </row>
    <row r="14" spans="1:8" x14ac:dyDescent="0.3">
      <c r="A14">
        <v>1013</v>
      </c>
      <c r="B14" s="1" t="s">
        <v>126</v>
      </c>
      <c r="C14" s="1" t="s">
        <v>116</v>
      </c>
      <c r="D14" s="1" t="s">
        <v>136</v>
      </c>
      <c r="E14" s="1" t="s">
        <v>8</v>
      </c>
      <c r="F14" s="1" t="str">
        <f>PROPER(Customers[[#This Row],[FirstName]])</f>
        <v>Sipho</v>
      </c>
      <c r="G14" s="1" t="str">
        <f>PROPER(Customers[[#This Row],[LastName]])</f>
        <v>Van Wyk</v>
      </c>
      <c r="H14" s="1" t="s">
        <v>114</v>
      </c>
    </row>
    <row r="15" spans="1:8" x14ac:dyDescent="0.3">
      <c r="A15">
        <v>1014</v>
      </c>
      <c r="B15" s="1" t="s">
        <v>130</v>
      </c>
      <c r="C15" s="1" t="s">
        <v>137</v>
      </c>
      <c r="D15" s="1" t="s">
        <v>138</v>
      </c>
      <c r="E15" s="1" t="s">
        <v>16</v>
      </c>
      <c r="F15" s="1" t="str">
        <f>PROPER(Customers[[#This Row],[FirstName]])</f>
        <v>John</v>
      </c>
      <c r="G15" s="1" t="str">
        <f>PROPER(Customers[[#This Row],[LastName]])</f>
        <v>Mlambo</v>
      </c>
      <c r="H15" s="1" t="s">
        <v>114</v>
      </c>
    </row>
    <row r="16" spans="1:8" x14ac:dyDescent="0.3">
      <c r="A16">
        <v>1015</v>
      </c>
      <c r="B16" s="1" t="s">
        <v>130</v>
      </c>
      <c r="C16" s="1" t="s">
        <v>133</v>
      </c>
      <c r="D16" s="1" t="s">
        <v>134</v>
      </c>
      <c r="E16" s="1" t="s">
        <v>8</v>
      </c>
      <c r="F16" s="1" t="str">
        <f>PROPER(Customers[[#This Row],[FirstName]])</f>
        <v>John</v>
      </c>
      <c r="G16" s="1" t="str">
        <f>PROPER(Customers[[#This Row],[LastName]])</f>
        <v>Smith</v>
      </c>
      <c r="H16" s="1" t="s">
        <v>114</v>
      </c>
    </row>
    <row r="17" spans="1:8" x14ac:dyDescent="0.3">
      <c r="A17">
        <v>1016</v>
      </c>
      <c r="B17" s="1" t="s">
        <v>126</v>
      </c>
      <c r="C17" s="1" t="s">
        <v>124</v>
      </c>
      <c r="D17" s="1" t="s">
        <v>139</v>
      </c>
      <c r="E17" s="1" t="s">
        <v>13</v>
      </c>
      <c r="F17" s="1" t="str">
        <f>PROPER(Customers[[#This Row],[FirstName]])</f>
        <v>Sipho</v>
      </c>
      <c r="G17" s="1" t="str">
        <f>PROPER(Customers[[#This Row],[LastName]])</f>
        <v>Nguyen</v>
      </c>
      <c r="H17" s="1" t="s">
        <v>114</v>
      </c>
    </row>
    <row r="18" spans="1:8" x14ac:dyDescent="0.3">
      <c r="A18">
        <v>1017</v>
      </c>
      <c r="B18" s="1" t="s">
        <v>126</v>
      </c>
      <c r="C18" s="1" t="s">
        <v>133</v>
      </c>
      <c r="D18" s="1" t="s">
        <v>140</v>
      </c>
      <c r="E18" s="1" t="s">
        <v>19</v>
      </c>
      <c r="F18" s="1" t="str">
        <f>PROPER(Customers[[#This Row],[FirstName]])</f>
        <v>Sipho</v>
      </c>
      <c r="G18" s="1" t="str">
        <f>PROPER(Customers[[#This Row],[LastName]])</f>
        <v>Smith</v>
      </c>
      <c r="H18" s="1" t="s">
        <v>114</v>
      </c>
    </row>
    <row r="19" spans="1:8" x14ac:dyDescent="0.3">
      <c r="A19">
        <v>1018</v>
      </c>
      <c r="B19" s="1" t="s">
        <v>115</v>
      </c>
      <c r="C19" s="1" t="s">
        <v>137</v>
      </c>
      <c r="D19" s="1" t="s">
        <v>141</v>
      </c>
      <c r="E19" s="1" t="s">
        <v>8</v>
      </c>
      <c r="F19" s="1" t="str">
        <f>PROPER(Customers[[#This Row],[FirstName]])</f>
        <v>Michael</v>
      </c>
      <c r="G19" s="1" t="str">
        <f>PROPER(Customers[[#This Row],[LastName]])</f>
        <v>Mlambo</v>
      </c>
      <c r="H19" s="1" t="s">
        <v>114</v>
      </c>
    </row>
    <row r="20" spans="1:8" x14ac:dyDescent="0.3">
      <c r="A20">
        <v>1019</v>
      </c>
      <c r="B20" s="1" t="s">
        <v>111</v>
      </c>
      <c r="C20" s="1" t="s">
        <v>124</v>
      </c>
      <c r="D20" s="1" t="s">
        <v>142</v>
      </c>
      <c r="E20" s="1" t="s">
        <v>19</v>
      </c>
      <c r="F20" s="1" t="str">
        <f>PROPER(Customers[[#This Row],[FirstName]])</f>
        <v>Naledi</v>
      </c>
      <c r="G20" s="1" t="str">
        <f>PROPER(Customers[[#This Row],[LastName]])</f>
        <v>Nguyen</v>
      </c>
      <c r="H20" s="1" t="s">
        <v>114</v>
      </c>
    </row>
    <row r="21" spans="1:8" x14ac:dyDescent="0.3">
      <c r="A21">
        <v>1020</v>
      </c>
      <c r="B21" s="1" t="s">
        <v>143</v>
      </c>
      <c r="C21" s="1" t="s">
        <v>116</v>
      </c>
      <c r="D21" s="1" t="s">
        <v>144</v>
      </c>
      <c r="E21" s="1" t="s">
        <v>13</v>
      </c>
      <c r="F21" s="1" t="str">
        <f>PROPER(Customers[[#This Row],[FirstName]])</f>
        <v>David</v>
      </c>
      <c r="G21" s="1" t="str">
        <f>PROPER(Customers[[#This Row],[LastName]])</f>
        <v>Van Wyk</v>
      </c>
      <c r="H21" s="1" t="s">
        <v>114</v>
      </c>
    </row>
    <row r="22" spans="1:8" x14ac:dyDescent="0.3">
      <c r="A22">
        <v>1021</v>
      </c>
      <c r="B22" s="1" t="s">
        <v>145</v>
      </c>
      <c r="C22" s="1" t="s">
        <v>118</v>
      </c>
      <c r="D22" s="1" t="s">
        <v>146</v>
      </c>
      <c r="E22" s="1" t="s">
        <v>8</v>
      </c>
      <c r="F22" s="1" t="str">
        <f>PROPER(Customers[[#This Row],[FirstName]])</f>
        <v>Thabo</v>
      </c>
      <c r="G22" s="1" t="str">
        <f>PROPER(Customers[[#This Row],[LastName]])</f>
        <v>Botha</v>
      </c>
      <c r="H22" s="1" t="s">
        <v>114</v>
      </c>
    </row>
    <row r="23" spans="1:8" x14ac:dyDescent="0.3">
      <c r="A23">
        <v>1022</v>
      </c>
      <c r="B23" s="1" t="s">
        <v>126</v>
      </c>
      <c r="C23" s="1" t="s">
        <v>116</v>
      </c>
      <c r="D23" s="1" t="s">
        <v>136</v>
      </c>
      <c r="E23" s="1" t="s">
        <v>13</v>
      </c>
      <c r="F23" s="1" t="str">
        <f>PROPER(Customers[[#This Row],[FirstName]])</f>
        <v>Sipho</v>
      </c>
      <c r="G23" s="1" t="str">
        <f>PROPER(Customers[[#This Row],[LastName]])</f>
        <v>Van Wyk</v>
      </c>
      <c r="H23" s="1" t="s">
        <v>114</v>
      </c>
    </row>
    <row r="24" spans="1:8" x14ac:dyDescent="0.3">
      <c r="A24">
        <v>1023</v>
      </c>
      <c r="B24" s="1" t="s">
        <v>147</v>
      </c>
      <c r="C24" s="1" t="s">
        <v>148</v>
      </c>
      <c r="D24" s="1" t="s">
        <v>149</v>
      </c>
      <c r="E24" s="1" t="s">
        <v>13</v>
      </c>
      <c r="F24" s="1" t="str">
        <f>PROPER(Customers[[#This Row],[FirstName]])</f>
        <v>Lerato</v>
      </c>
      <c r="G24" s="1" t="str">
        <f>PROPER(Customers[[#This Row],[LastName]])</f>
        <v>Naidoo</v>
      </c>
      <c r="H24" s="1" t="s">
        <v>114</v>
      </c>
    </row>
    <row r="25" spans="1:8" x14ac:dyDescent="0.3">
      <c r="A25">
        <v>1024</v>
      </c>
      <c r="B25" s="1" t="s">
        <v>150</v>
      </c>
      <c r="C25" s="1" t="s">
        <v>131</v>
      </c>
      <c r="D25" s="1" t="s">
        <v>151</v>
      </c>
      <c r="E25" s="1" t="s">
        <v>16</v>
      </c>
      <c r="F25" s="1" t="str">
        <f>PROPER(Customers[[#This Row],[FirstName]])</f>
        <v>Aisha</v>
      </c>
      <c r="G25" s="1" t="str">
        <f>PROPER(Customers[[#This Row],[LastName]])</f>
        <v>Brown</v>
      </c>
      <c r="H25" s="1" t="s">
        <v>114</v>
      </c>
    </row>
    <row r="26" spans="1:8" x14ac:dyDescent="0.3">
      <c r="A26">
        <v>1025</v>
      </c>
      <c r="B26" s="1" t="s">
        <v>147</v>
      </c>
      <c r="C26" s="1" t="s">
        <v>116</v>
      </c>
      <c r="D26" s="1" t="s">
        <v>152</v>
      </c>
      <c r="E26" s="1" t="s">
        <v>16</v>
      </c>
      <c r="F26" s="1" t="str">
        <f>PROPER(Customers[[#This Row],[FirstName]])</f>
        <v>Lerato</v>
      </c>
      <c r="G26" s="1" t="str">
        <f>PROPER(Customers[[#This Row],[LastName]])</f>
        <v>Van Wyk</v>
      </c>
      <c r="H26" s="1" t="s">
        <v>114</v>
      </c>
    </row>
    <row r="27" spans="1:8" x14ac:dyDescent="0.3">
      <c r="A27">
        <v>1015</v>
      </c>
      <c r="B27" s="1" t="s">
        <v>130</v>
      </c>
      <c r="C27" s="1" t="s">
        <v>133</v>
      </c>
      <c r="D27" s="1" t="s">
        <v>134</v>
      </c>
      <c r="E27" s="1" t="s">
        <v>8</v>
      </c>
      <c r="F27" s="1" t="str">
        <f>PROPER(Customers[[#This Row],[FirstName]])</f>
        <v>John</v>
      </c>
      <c r="G27" s="1" t="str">
        <f>PROPER(Customers[[#This Row],[LastName]])</f>
        <v>Smith</v>
      </c>
      <c r="H27" s="1" t="s">
        <v>114</v>
      </c>
    </row>
    <row r="28" spans="1:8" x14ac:dyDescent="0.3">
      <c r="A28">
        <v>1014</v>
      </c>
      <c r="B28" s="1" t="s">
        <v>130</v>
      </c>
      <c r="C28" s="1" t="s">
        <v>137</v>
      </c>
      <c r="D28" s="1" t="s">
        <v>138</v>
      </c>
      <c r="E28" s="1" t="s">
        <v>16</v>
      </c>
      <c r="F28" s="1" t="str">
        <f>PROPER(Customers[[#This Row],[FirstName]])</f>
        <v>John</v>
      </c>
      <c r="G28" s="1" t="str">
        <f>PROPER(Customers[[#This Row],[LastName]])</f>
        <v>Mlambo</v>
      </c>
      <c r="H28" s="1" t="s">
        <v>114</v>
      </c>
    </row>
    <row r="29" spans="1:8" x14ac:dyDescent="0.3">
      <c r="A29">
        <v>1018</v>
      </c>
      <c r="B29" s="1" t="s">
        <v>115</v>
      </c>
      <c r="C29" s="1" t="s">
        <v>137</v>
      </c>
      <c r="D29" s="1" t="s">
        <v>141</v>
      </c>
      <c r="E29" s="1" t="s">
        <v>8</v>
      </c>
      <c r="F29" s="1" t="str">
        <f>PROPER(Customers[[#This Row],[FirstName]])</f>
        <v>Michael</v>
      </c>
      <c r="G29" s="1" t="str">
        <f>PROPER(Customers[[#This Row],[LastName]])</f>
        <v>Mlambo</v>
      </c>
      <c r="H29" s="1" t="s">
        <v>114</v>
      </c>
    </row>
  </sheetData>
  <conditionalFormatting sqref="A1:A1048576">
    <cfRule type="duplicateValues" dxfId="7"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430-F610-4429-86F9-7D183A29E0A3}">
  <dimension ref="A1:E7"/>
  <sheetViews>
    <sheetView workbookViewId="0">
      <selection activeCell="B3" sqref="B3"/>
    </sheetView>
  </sheetViews>
  <sheetFormatPr defaultRowHeight="14.4" x14ac:dyDescent="0.3"/>
  <cols>
    <col min="1" max="1" width="11.21875" bestFit="1" customWidth="1"/>
    <col min="2" max="2" width="10.88671875" bestFit="1" customWidth="1"/>
    <col min="3" max="3" width="11" bestFit="1" customWidth="1"/>
    <col min="4" max="4" width="10.44140625" bestFit="1" customWidth="1"/>
    <col min="5" max="5" width="10.5546875" bestFit="1" customWidth="1"/>
  </cols>
  <sheetData>
    <row r="1" spans="1:5" x14ac:dyDescent="0.3">
      <c r="A1" t="s">
        <v>4</v>
      </c>
      <c r="B1" t="s">
        <v>153</v>
      </c>
      <c r="C1" t="s">
        <v>6</v>
      </c>
      <c r="D1" t="s">
        <v>154</v>
      </c>
      <c r="E1" t="s">
        <v>155</v>
      </c>
    </row>
    <row r="2" spans="1:5" x14ac:dyDescent="0.3">
      <c r="A2" s="1" t="s">
        <v>20</v>
      </c>
      <c r="B2" s="1" t="s">
        <v>156</v>
      </c>
      <c r="C2">
        <v>1299</v>
      </c>
      <c r="D2">
        <v>469</v>
      </c>
      <c r="E2">
        <v>0.22</v>
      </c>
    </row>
    <row r="3" spans="1:5" x14ac:dyDescent="0.3">
      <c r="A3" s="1" t="s">
        <v>9</v>
      </c>
      <c r="B3" s="1" t="s">
        <v>156</v>
      </c>
      <c r="C3">
        <v>1613</v>
      </c>
      <c r="D3">
        <v>492</v>
      </c>
      <c r="E3">
        <v>0.14000000000000001</v>
      </c>
    </row>
    <row r="4" spans="1:5" x14ac:dyDescent="0.3">
      <c r="A4" s="1" t="s">
        <v>17</v>
      </c>
      <c r="B4" s="1" t="s">
        <v>156</v>
      </c>
      <c r="C4">
        <v>1402</v>
      </c>
      <c r="D4">
        <v>97</v>
      </c>
      <c r="E4">
        <v>0.08</v>
      </c>
    </row>
    <row r="5" spans="1:5" x14ac:dyDescent="0.3">
      <c r="A5" s="1" t="s">
        <v>11</v>
      </c>
      <c r="B5" s="1" t="s">
        <v>157</v>
      </c>
      <c r="C5">
        <v>106</v>
      </c>
      <c r="D5">
        <v>323</v>
      </c>
      <c r="E5">
        <v>0.1</v>
      </c>
    </row>
    <row r="6" spans="1:5" x14ac:dyDescent="0.3">
      <c r="A6" s="1" t="s">
        <v>14</v>
      </c>
      <c r="B6" s="1" t="s">
        <v>156</v>
      </c>
      <c r="C6">
        <v>396</v>
      </c>
      <c r="D6">
        <v>463</v>
      </c>
      <c r="E6">
        <v>0.23</v>
      </c>
    </row>
    <row r="7" spans="1:5" x14ac:dyDescent="0.3">
      <c r="A7" s="1" t="s">
        <v>25</v>
      </c>
      <c r="B7" s="1" t="s">
        <v>158</v>
      </c>
      <c r="C7">
        <v>1635</v>
      </c>
      <c r="D7">
        <v>136</v>
      </c>
      <c r="E7">
        <v>0.1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31753-A1FC-4923-A0D9-E4A6085E8796}">
  <dimension ref="A1:E10"/>
  <sheetViews>
    <sheetView workbookViewId="0">
      <selection activeCell="K6" sqref="K6"/>
    </sheetView>
  </sheetViews>
  <sheetFormatPr defaultRowHeight="14.4" x14ac:dyDescent="0.3"/>
  <cols>
    <col min="1" max="1" width="10.33203125" bestFit="1" customWidth="1"/>
    <col min="2" max="2" width="12.109375" bestFit="1" customWidth="1"/>
    <col min="3" max="3" width="10" bestFit="1" customWidth="1"/>
    <col min="4" max="4" width="15.77734375" bestFit="1" customWidth="1"/>
    <col min="5" max="5" width="11.109375" bestFit="1" customWidth="1"/>
  </cols>
  <sheetData>
    <row r="1" spans="1:5" x14ac:dyDescent="0.3">
      <c r="A1" t="s">
        <v>159</v>
      </c>
      <c r="B1" t="s">
        <v>160</v>
      </c>
      <c r="C1" t="s">
        <v>161</v>
      </c>
      <c r="D1" t="s">
        <v>162</v>
      </c>
      <c r="E1" t="s">
        <v>163</v>
      </c>
    </row>
    <row r="2" spans="1:5" x14ac:dyDescent="0.3">
      <c r="A2" s="2">
        <v>45688</v>
      </c>
      <c r="B2">
        <v>25640</v>
      </c>
      <c r="C2">
        <v>60082</v>
      </c>
      <c r="D2">
        <v>21492</v>
      </c>
      <c r="E2">
        <v>85722</v>
      </c>
    </row>
    <row r="3" spans="1:5" x14ac:dyDescent="0.3">
      <c r="A3" s="2">
        <v>45716</v>
      </c>
      <c r="B3">
        <v>43320</v>
      </c>
      <c r="C3">
        <v>70533</v>
      </c>
      <c r="D3">
        <v>27724</v>
      </c>
      <c r="E3">
        <v>113853</v>
      </c>
    </row>
    <row r="4" spans="1:5" x14ac:dyDescent="0.3">
      <c r="A4" s="2">
        <v>45747</v>
      </c>
      <c r="B4">
        <v>34147</v>
      </c>
      <c r="C4">
        <v>63890</v>
      </c>
      <c r="D4">
        <v>17738</v>
      </c>
      <c r="E4">
        <v>98037</v>
      </c>
    </row>
    <row r="5" spans="1:5" x14ac:dyDescent="0.3">
      <c r="A5" s="2">
        <v>45777</v>
      </c>
      <c r="B5">
        <v>44423</v>
      </c>
      <c r="C5">
        <v>90674</v>
      </c>
      <c r="D5">
        <v>21152</v>
      </c>
      <c r="E5">
        <v>135097</v>
      </c>
    </row>
    <row r="6" spans="1:5" x14ac:dyDescent="0.3">
      <c r="A6" s="2">
        <v>45808</v>
      </c>
      <c r="B6">
        <v>32119</v>
      </c>
      <c r="C6">
        <v>55646</v>
      </c>
      <c r="D6">
        <v>19723</v>
      </c>
      <c r="E6">
        <v>87765</v>
      </c>
    </row>
    <row r="7" spans="1:5" x14ac:dyDescent="0.3">
      <c r="A7" s="2">
        <v>45838</v>
      </c>
      <c r="B7">
        <v>20079</v>
      </c>
      <c r="C7">
        <v>99954</v>
      </c>
      <c r="D7">
        <v>15769</v>
      </c>
      <c r="E7">
        <v>120033</v>
      </c>
    </row>
    <row r="8" spans="1:5" x14ac:dyDescent="0.3">
      <c r="A8" s="2">
        <v>45869</v>
      </c>
      <c r="B8">
        <v>36304</v>
      </c>
      <c r="C8">
        <v>63297</v>
      </c>
      <c r="D8">
        <v>25453</v>
      </c>
      <c r="E8">
        <v>99601</v>
      </c>
    </row>
    <row r="9" spans="1:5" x14ac:dyDescent="0.3">
      <c r="A9" s="2">
        <v>45900</v>
      </c>
      <c r="B9">
        <v>36734</v>
      </c>
      <c r="C9">
        <v>93760</v>
      </c>
      <c r="D9">
        <v>16230</v>
      </c>
      <c r="E9">
        <v>130494</v>
      </c>
    </row>
    <row r="10" spans="1:5" x14ac:dyDescent="0.3">
      <c r="A10" s="2">
        <v>45930</v>
      </c>
      <c r="B10">
        <v>34260</v>
      </c>
      <c r="C10">
        <v>70760</v>
      </c>
      <c r="D10">
        <v>28818</v>
      </c>
      <c r="E10">
        <v>105020</v>
      </c>
    </row>
  </sheetData>
  <conditionalFormatting sqref="A1:E10">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C5114-F84B-4ADB-A11C-304FBB7370CA}">
  <dimension ref="A1:D91"/>
  <sheetViews>
    <sheetView tabSelected="1" topLeftCell="A65" workbookViewId="0">
      <selection activeCell="G20" sqref="G20"/>
    </sheetView>
  </sheetViews>
  <sheetFormatPr defaultRowHeight="14.4" x14ac:dyDescent="0.3"/>
  <cols>
    <col min="1" max="1" width="9.77734375" bestFit="1" customWidth="1"/>
    <col min="2" max="2" width="14" bestFit="1" customWidth="1"/>
    <col min="3" max="3" width="12.44140625" bestFit="1" customWidth="1"/>
    <col min="4" max="4" width="22.21875" bestFit="1" customWidth="1"/>
  </cols>
  <sheetData>
    <row r="1" spans="1:4" x14ac:dyDescent="0.3">
      <c r="A1" t="s">
        <v>0</v>
      </c>
      <c r="B1" t="s">
        <v>164</v>
      </c>
      <c r="C1" t="s">
        <v>165</v>
      </c>
      <c r="D1" t="s">
        <v>166</v>
      </c>
    </row>
    <row r="2" spans="1:4" x14ac:dyDescent="0.3">
      <c r="A2" s="1" t="s">
        <v>7</v>
      </c>
      <c r="B2">
        <v>5</v>
      </c>
      <c r="C2">
        <v>0.01</v>
      </c>
    </row>
    <row r="3" spans="1:4" x14ac:dyDescent="0.3">
      <c r="A3" s="1" t="s">
        <v>10</v>
      </c>
      <c r="B3">
        <v>2</v>
      </c>
      <c r="C3">
        <v>0.03</v>
      </c>
    </row>
    <row r="4" spans="1:4" x14ac:dyDescent="0.3">
      <c r="A4" s="1" t="s">
        <v>12</v>
      </c>
      <c r="B4">
        <v>6</v>
      </c>
      <c r="C4">
        <v>0.05</v>
      </c>
    </row>
    <row r="5" spans="1:4" x14ac:dyDescent="0.3">
      <c r="A5" s="1" t="s">
        <v>15</v>
      </c>
      <c r="B5">
        <v>4</v>
      </c>
      <c r="C5">
        <v>7.0000000000000007E-2</v>
      </c>
    </row>
    <row r="6" spans="1:4" x14ac:dyDescent="0.3">
      <c r="A6" s="1" t="s">
        <v>18</v>
      </c>
      <c r="B6">
        <v>5</v>
      </c>
      <c r="C6">
        <v>0.03</v>
      </c>
    </row>
    <row r="7" spans="1:4" x14ac:dyDescent="0.3">
      <c r="A7" s="1" t="s">
        <v>21</v>
      </c>
      <c r="B7">
        <v>5</v>
      </c>
      <c r="C7">
        <v>0.06</v>
      </c>
    </row>
    <row r="8" spans="1:4" x14ac:dyDescent="0.3">
      <c r="A8" s="1" t="s">
        <v>22</v>
      </c>
      <c r="B8">
        <v>4</v>
      </c>
      <c r="C8">
        <v>0.02</v>
      </c>
    </row>
    <row r="9" spans="1:4" x14ac:dyDescent="0.3">
      <c r="A9" s="1" t="s">
        <v>23</v>
      </c>
      <c r="B9">
        <v>8</v>
      </c>
      <c r="C9">
        <v>7.0000000000000007E-2</v>
      </c>
    </row>
    <row r="10" spans="1:4" x14ac:dyDescent="0.3">
      <c r="A10" s="1" t="s">
        <v>24</v>
      </c>
      <c r="B10">
        <v>2</v>
      </c>
      <c r="C10">
        <v>0.08</v>
      </c>
    </row>
    <row r="11" spans="1:4" x14ac:dyDescent="0.3">
      <c r="A11" s="1" t="s">
        <v>26</v>
      </c>
      <c r="B11">
        <v>2</v>
      </c>
      <c r="C11">
        <v>0.08</v>
      </c>
    </row>
    <row r="12" spans="1:4" x14ac:dyDescent="0.3">
      <c r="A12" s="1" t="s">
        <v>27</v>
      </c>
      <c r="B12">
        <v>8</v>
      </c>
      <c r="C12">
        <v>0.06</v>
      </c>
    </row>
    <row r="13" spans="1:4" x14ac:dyDescent="0.3">
      <c r="A13" s="1" t="s">
        <v>28</v>
      </c>
      <c r="B13">
        <v>8</v>
      </c>
      <c r="C13">
        <v>0.03</v>
      </c>
    </row>
    <row r="14" spans="1:4" x14ac:dyDescent="0.3">
      <c r="A14" s="1" t="s">
        <v>29</v>
      </c>
      <c r="B14">
        <v>1</v>
      </c>
      <c r="C14">
        <v>7.0000000000000007E-2</v>
      </c>
    </row>
    <row r="15" spans="1:4" x14ac:dyDescent="0.3">
      <c r="A15" s="1" t="s">
        <v>30</v>
      </c>
      <c r="B15">
        <v>3</v>
      </c>
      <c r="C15">
        <v>0.09</v>
      </c>
    </row>
    <row r="16" spans="1:4" x14ac:dyDescent="0.3">
      <c r="A16" s="1" t="s">
        <v>31</v>
      </c>
      <c r="B16">
        <v>4</v>
      </c>
      <c r="C16">
        <v>0.06</v>
      </c>
    </row>
    <row r="17" spans="1:3" x14ac:dyDescent="0.3">
      <c r="A17" s="1" t="s">
        <v>32</v>
      </c>
      <c r="B17">
        <v>3</v>
      </c>
      <c r="C17">
        <v>0.1</v>
      </c>
    </row>
    <row r="18" spans="1:3" x14ac:dyDescent="0.3">
      <c r="A18" s="1" t="s">
        <v>33</v>
      </c>
      <c r="B18">
        <v>6</v>
      </c>
      <c r="C18">
        <v>0.1</v>
      </c>
    </row>
    <row r="19" spans="1:3" x14ac:dyDescent="0.3">
      <c r="A19" s="1" t="s">
        <v>34</v>
      </c>
      <c r="B19">
        <v>9</v>
      </c>
      <c r="C19">
        <v>0.02</v>
      </c>
    </row>
    <row r="20" spans="1:3" x14ac:dyDescent="0.3">
      <c r="A20" s="1" t="s">
        <v>35</v>
      </c>
      <c r="B20">
        <v>2</v>
      </c>
      <c r="C20">
        <v>0</v>
      </c>
    </row>
    <row r="21" spans="1:3" x14ac:dyDescent="0.3">
      <c r="A21" s="1" t="s">
        <v>36</v>
      </c>
      <c r="B21">
        <v>1</v>
      </c>
      <c r="C21">
        <v>0.02</v>
      </c>
    </row>
    <row r="22" spans="1:3" x14ac:dyDescent="0.3">
      <c r="A22" s="1" t="s">
        <v>37</v>
      </c>
      <c r="B22">
        <v>8</v>
      </c>
      <c r="C22">
        <v>0.09</v>
      </c>
    </row>
    <row r="23" spans="1:3" x14ac:dyDescent="0.3">
      <c r="A23" s="1" t="s">
        <v>38</v>
      </c>
      <c r="B23">
        <v>7</v>
      </c>
      <c r="C23">
        <v>0.1</v>
      </c>
    </row>
    <row r="24" spans="1:3" x14ac:dyDescent="0.3">
      <c r="A24" s="1" t="s">
        <v>39</v>
      </c>
      <c r="B24">
        <v>3</v>
      </c>
      <c r="C24">
        <v>0.02</v>
      </c>
    </row>
    <row r="25" spans="1:3" x14ac:dyDescent="0.3">
      <c r="A25" s="1" t="s">
        <v>40</v>
      </c>
      <c r="B25">
        <v>1</v>
      </c>
      <c r="C25">
        <v>0.04</v>
      </c>
    </row>
    <row r="26" spans="1:3" x14ac:dyDescent="0.3">
      <c r="A26" s="1" t="s">
        <v>41</v>
      </c>
      <c r="B26">
        <v>9</v>
      </c>
      <c r="C26">
        <v>0.05</v>
      </c>
    </row>
    <row r="27" spans="1:3" x14ac:dyDescent="0.3">
      <c r="A27" s="1" t="s">
        <v>42</v>
      </c>
      <c r="B27">
        <v>3</v>
      </c>
      <c r="C27">
        <v>0.03</v>
      </c>
    </row>
    <row r="28" spans="1:3" x14ac:dyDescent="0.3">
      <c r="A28" s="1" t="s">
        <v>43</v>
      </c>
      <c r="B28">
        <v>6</v>
      </c>
      <c r="C28">
        <v>0.05</v>
      </c>
    </row>
    <row r="29" spans="1:3" x14ac:dyDescent="0.3">
      <c r="A29" s="1" t="s">
        <v>44</v>
      </c>
      <c r="B29">
        <v>2</v>
      </c>
      <c r="C29">
        <v>7.0000000000000007E-2</v>
      </c>
    </row>
    <row r="30" spans="1:3" x14ac:dyDescent="0.3">
      <c r="A30" s="1" t="s">
        <v>45</v>
      </c>
      <c r="B30">
        <v>9</v>
      </c>
      <c r="C30">
        <v>0.05</v>
      </c>
    </row>
    <row r="31" spans="1:3" x14ac:dyDescent="0.3">
      <c r="A31" s="1" t="s">
        <v>46</v>
      </c>
      <c r="B31">
        <v>2</v>
      </c>
      <c r="C31">
        <v>7.0000000000000007E-2</v>
      </c>
    </row>
    <row r="32" spans="1:3" x14ac:dyDescent="0.3">
      <c r="A32" s="1" t="s">
        <v>47</v>
      </c>
      <c r="B32">
        <v>6</v>
      </c>
      <c r="C32">
        <v>0.05</v>
      </c>
    </row>
    <row r="33" spans="1:3" x14ac:dyDescent="0.3">
      <c r="A33" s="1" t="s">
        <v>48</v>
      </c>
      <c r="B33">
        <v>5</v>
      </c>
      <c r="C33">
        <v>0</v>
      </c>
    </row>
    <row r="34" spans="1:3" x14ac:dyDescent="0.3">
      <c r="A34" s="1" t="s">
        <v>49</v>
      </c>
      <c r="B34">
        <v>3</v>
      </c>
      <c r="C34">
        <v>0.04</v>
      </c>
    </row>
    <row r="35" spans="1:3" x14ac:dyDescent="0.3">
      <c r="A35" s="1" t="s">
        <v>50</v>
      </c>
      <c r="B35">
        <v>9</v>
      </c>
      <c r="C35">
        <v>0.05</v>
      </c>
    </row>
    <row r="36" spans="1:3" x14ac:dyDescent="0.3">
      <c r="A36" s="1" t="s">
        <v>51</v>
      </c>
      <c r="B36">
        <v>4</v>
      </c>
      <c r="C36">
        <v>0.04</v>
      </c>
    </row>
    <row r="37" spans="1:3" x14ac:dyDescent="0.3">
      <c r="A37" s="1" t="s">
        <v>52</v>
      </c>
      <c r="B37">
        <v>6</v>
      </c>
      <c r="C37">
        <v>0.04</v>
      </c>
    </row>
    <row r="38" spans="1:3" x14ac:dyDescent="0.3">
      <c r="A38" s="1" t="s">
        <v>53</v>
      </c>
      <c r="B38">
        <v>1</v>
      </c>
      <c r="C38">
        <v>0.05</v>
      </c>
    </row>
    <row r="39" spans="1:3" x14ac:dyDescent="0.3">
      <c r="A39" s="1" t="s">
        <v>54</v>
      </c>
      <c r="B39">
        <v>4</v>
      </c>
      <c r="C39">
        <v>0.04</v>
      </c>
    </row>
    <row r="40" spans="1:3" x14ac:dyDescent="0.3">
      <c r="A40" s="1" t="s">
        <v>55</v>
      </c>
      <c r="B40">
        <v>7</v>
      </c>
      <c r="C40">
        <v>0.01</v>
      </c>
    </row>
    <row r="41" spans="1:3" x14ac:dyDescent="0.3">
      <c r="A41" s="1" t="s">
        <v>56</v>
      </c>
      <c r="B41">
        <v>4</v>
      </c>
      <c r="C41">
        <v>0.03</v>
      </c>
    </row>
    <row r="42" spans="1:3" x14ac:dyDescent="0.3">
      <c r="A42" s="1" t="s">
        <v>57</v>
      </c>
      <c r="B42">
        <v>5</v>
      </c>
      <c r="C42">
        <v>0.09</v>
      </c>
    </row>
    <row r="43" spans="1:3" x14ac:dyDescent="0.3">
      <c r="A43" s="1" t="s">
        <v>58</v>
      </c>
      <c r="B43">
        <v>8</v>
      </c>
      <c r="C43">
        <v>0</v>
      </c>
    </row>
    <row r="44" spans="1:3" x14ac:dyDescent="0.3">
      <c r="A44" s="1" t="s">
        <v>59</v>
      </c>
      <c r="B44">
        <v>7</v>
      </c>
      <c r="C44">
        <v>0</v>
      </c>
    </row>
    <row r="45" spans="1:3" x14ac:dyDescent="0.3">
      <c r="A45" s="1" t="s">
        <v>60</v>
      </c>
      <c r="B45">
        <v>4</v>
      </c>
      <c r="C45">
        <v>0.03</v>
      </c>
    </row>
    <row r="46" spans="1:3" x14ac:dyDescent="0.3">
      <c r="A46" s="1" t="s">
        <v>61</v>
      </c>
      <c r="B46">
        <v>1</v>
      </c>
      <c r="C46">
        <v>0.06</v>
      </c>
    </row>
    <row r="47" spans="1:3" x14ac:dyDescent="0.3">
      <c r="A47" s="1" t="s">
        <v>62</v>
      </c>
      <c r="B47">
        <v>5</v>
      </c>
      <c r="C47">
        <v>0.1</v>
      </c>
    </row>
    <row r="48" spans="1:3" x14ac:dyDescent="0.3">
      <c r="A48" s="1" t="s">
        <v>63</v>
      </c>
      <c r="B48">
        <v>5</v>
      </c>
      <c r="C48">
        <v>0.1</v>
      </c>
    </row>
    <row r="49" spans="1:3" x14ac:dyDescent="0.3">
      <c r="A49" s="1" t="s">
        <v>64</v>
      </c>
      <c r="B49">
        <v>6</v>
      </c>
      <c r="C49">
        <v>0.1</v>
      </c>
    </row>
    <row r="50" spans="1:3" x14ac:dyDescent="0.3">
      <c r="A50" s="1" t="s">
        <v>65</v>
      </c>
      <c r="B50">
        <v>8</v>
      </c>
      <c r="C50">
        <v>0.01</v>
      </c>
    </row>
    <row r="51" spans="1:3" x14ac:dyDescent="0.3">
      <c r="A51" s="1" t="s">
        <v>66</v>
      </c>
      <c r="B51">
        <v>7</v>
      </c>
      <c r="C51">
        <v>7.0000000000000007E-2</v>
      </c>
    </row>
    <row r="52" spans="1:3" x14ac:dyDescent="0.3">
      <c r="A52" s="1" t="s">
        <v>67</v>
      </c>
      <c r="B52">
        <v>7</v>
      </c>
      <c r="C52">
        <v>0.05</v>
      </c>
    </row>
    <row r="53" spans="1:3" x14ac:dyDescent="0.3">
      <c r="A53" s="1" t="s">
        <v>68</v>
      </c>
      <c r="B53">
        <v>3</v>
      </c>
      <c r="C53">
        <v>0.02</v>
      </c>
    </row>
    <row r="54" spans="1:3" x14ac:dyDescent="0.3">
      <c r="A54" s="1" t="s">
        <v>69</v>
      </c>
      <c r="B54">
        <v>5</v>
      </c>
      <c r="C54">
        <v>0.09</v>
      </c>
    </row>
    <row r="55" spans="1:3" x14ac:dyDescent="0.3">
      <c r="A55" s="1" t="s">
        <v>70</v>
      </c>
      <c r="B55">
        <v>3</v>
      </c>
      <c r="C55">
        <v>0.02</v>
      </c>
    </row>
    <row r="56" spans="1:3" x14ac:dyDescent="0.3">
      <c r="A56" s="1" t="s">
        <v>71</v>
      </c>
      <c r="B56">
        <v>8</v>
      </c>
      <c r="C56">
        <v>0.1</v>
      </c>
    </row>
    <row r="57" spans="1:3" x14ac:dyDescent="0.3">
      <c r="A57" s="1" t="s">
        <v>72</v>
      </c>
      <c r="B57">
        <v>2</v>
      </c>
      <c r="C57">
        <v>0.06</v>
      </c>
    </row>
    <row r="58" spans="1:3" x14ac:dyDescent="0.3">
      <c r="A58" s="1" t="s">
        <v>73</v>
      </c>
      <c r="B58">
        <v>7</v>
      </c>
      <c r="C58">
        <v>0.02</v>
      </c>
    </row>
    <row r="59" spans="1:3" x14ac:dyDescent="0.3">
      <c r="A59" s="1" t="s">
        <v>74</v>
      </c>
      <c r="B59">
        <v>7</v>
      </c>
      <c r="C59">
        <v>0.04</v>
      </c>
    </row>
    <row r="60" spans="1:3" x14ac:dyDescent="0.3">
      <c r="A60" s="1" t="s">
        <v>75</v>
      </c>
      <c r="B60">
        <v>1</v>
      </c>
      <c r="C60">
        <v>0.02</v>
      </c>
    </row>
    <row r="61" spans="1:3" x14ac:dyDescent="0.3">
      <c r="A61" s="1" t="s">
        <v>76</v>
      </c>
      <c r="B61">
        <v>8</v>
      </c>
      <c r="C61">
        <v>0.04</v>
      </c>
    </row>
    <row r="62" spans="1:3" x14ac:dyDescent="0.3">
      <c r="A62" s="1" t="s">
        <v>77</v>
      </c>
      <c r="B62">
        <v>3</v>
      </c>
      <c r="C62">
        <v>0.06</v>
      </c>
    </row>
    <row r="63" spans="1:3" x14ac:dyDescent="0.3">
      <c r="A63" s="1" t="s">
        <v>78</v>
      </c>
      <c r="B63">
        <v>4</v>
      </c>
      <c r="C63">
        <v>7.0000000000000007E-2</v>
      </c>
    </row>
    <row r="64" spans="1:3" x14ac:dyDescent="0.3">
      <c r="A64" s="1" t="s">
        <v>79</v>
      </c>
      <c r="B64">
        <v>6</v>
      </c>
      <c r="C64">
        <v>0.05</v>
      </c>
    </row>
    <row r="65" spans="1:3" x14ac:dyDescent="0.3">
      <c r="A65" s="1" t="s">
        <v>80</v>
      </c>
      <c r="B65">
        <v>5</v>
      </c>
      <c r="C65">
        <v>0.03</v>
      </c>
    </row>
    <row r="66" spans="1:3" x14ac:dyDescent="0.3">
      <c r="A66" s="1" t="s">
        <v>81</v>
      </c>
      <c r="B66">
        <v>3</v>
      </c>
      <c r="C66">
        <v>0.06</v>
      </c>
    </row>
    <row r="67" spans="1:3" x14ac:dyDescent="0.3">
      <c r="A67" s="1" t="s">
        <v>82</v>
      </c>
      <c r="B67">
        <v>5</v>
      </c>
      <c r="C67">
        <v>0.04</v>
      </c>
    </row>
    <row r="68" spans="1:3" x14ac:dyDescent="0.3">
      <c r="A68" s="1" t="s">
        <v>83</v>
      </c>
      <c r="B68">
        <v>4</v>
      </c>
      <c r="C68">
        <v>0.04</v>
      </c>
    </row>
    <row r="69" spans="1:3" x14ac:dyDescent="0.3">
      <c r="A69" s="1" t="s">
        <v>84</v>
      </c>
      <c r="B69">
        <v>8</v>
      </c>
      <c r="C69">
        <v>0.03</v>
      </c>
    </row>
    <row r="70" spans="1:3" x14ac:dyDescent="0.3">
      <c r="A70" s="1" t="s">
        <v>85</v>
      </c>
      <c r="B70">
        <v>1</v>
      </c>
      <c r="C70">
        <v>0.02</v>
      </c>
    </row>
    <row r="71" spans="1:3" x14ac:dyDescent="0.3">
      <c r="A71" s="1" t="s">
        <v>86</v>
      </c>
      <c r="B71">
        <v>1</v>
      </c>
      <c r="C71">
        <v>0.05</v>
      </c>
    </row>
    <row r="72" spans="1:3" x14ac:dyDescent="0.3">
      <c r="A72" s="1" t="s">
        <v>87</v>
      </c>
      <c r="B72">
        <v>6</v>
      </c>
      <c r="C72">
        <v>0.05</v>
      </c>
    </row>
    <row r="73" spans="1:3" x14ac:dyDescent="0.3">
      <c r="A73" s="1" t="s">
        <v>88</v>
      </c>
      <c r="B73">
        <v>7</v>
      </c>
      <c r="C73">
        <v>0.09</v>
      </c>
    </row>
    <row r="74" spans="1:3" x14ac:dyDescent="0.3">
      <c r="A74" s="1" t="s">
        <v>89</v>
      </c>
      <c r="B74">
        <v>7</v>
      </c>
      <c r="C74">
        <v>7.0000000000000007E-2</v>
      </c>
    </row>
    <row r="75" spans="1:3" x14ac:dyDescent="0.3">
      <c r="A75" s="1" t="s">
        <v>90</v>
      </c>
      <c r="B75">
        <v>6</v>
      </c>
      <c r="C75">
        <v>0.08</v>
      </c>
    </row>
    <row r="76" spans="1:3" x14ac:dyDescent="0.3">
      <c r="A76" s="1" t="s">
        <v>91</v>
      </c>
      <c r="B76">
        <v>7</v>
      </c>
      <c r="C76">
        <v>0.04</v>
      </c>
    </row>
    <row r="77" spans="1:3" x14ac:dyDescent="0.3">
      <c r="A77" s="1" t="s">
        <v>92</v>
      </c>
      <c r="B77">
        <v>5</v>
      </c>
      <c r="C77">
        <v>0.03</v>
      </c>
    </row>
    <row r="78" spans="1:3" x14ac:dyDescent="0.3">
      <c r="A78" s="1" t="s">
        <v>93</v>
      </c>
      <c r="B78">
        <v>8</v>
      </c>
      <c r="C78">
        <v>7.0000000000000007E-2</v>
      </c>
    </row>
    <row r="79" spans="1:3" x14ac:dyDescent="0.3">
      <c r="A79" s="1" t="s">
        <v>94</v>
      </c>
      <c r="B79">
        <v>4</v>
      </c>
      <c r="C79">
        <v>7.0000000000000007E-2</v>
      </c>
    </row>
    <row r="80" spans="1:3" x14ac:dyDescent="0.3">
      <c r="A80" s="1" t="s">
        <v>95</v>
      </c>
      <c r="B80">
        <v>3</v>
      </c>
      <c r="C80">
        <v>0.01</v>
      </c>
    </row>
    <row r="81" spans="1:3" x14ac:dyDescent="0.3">
      <c r="A81" s="1" t="s">
        <v>96</v>
      </c>
      <c r="B81">
        <v>4</v>
      </c>
      <c r="C81">
        <v>0.01</v>
      </c>
    </row>
    <row r="82" spans="1:3" x14ac:dyDescent="0.3">
      <c r="A82" s="1" t="s">
        <v>97</v>
      </c>
      <c r="B82">
        <v>9</v>
      </c>
      <c r="C82">
        <v>0.05</v>
      </c>
    </row>
    <row r="83" spans="1:3" x14ac:dyDescent="0.3">
      <c r="A83" s="1" t="s">
        <v>98</v>
      </c>
      <c r="B83">
        <v>8</v>
      </c>
      <c r="C83">
        <v>0.02</v>
      </c>
    </row>
    <row r="84" spans="1:3" x14ac:dyDescent="0.3">
      <c r="A84" s="1" t="s">
        <v>99</v>
      </c>
      <c r="B84">
        <v>2</v>
      </c>
      <c r="C84">
        <v>0.1</v>
      </c>
    </row>
    <row r="85" spans="1:3" x14ac:dyDescent="0.3">
      <c r="A85" s="1" t="s">
        <v>100</v>
      </c>
      <c r="B85">
        <v>6</v>
      </c>
      <c r="C85">
        <v>0.08</v>
      </c>
    </row>
    <row r="86" spans="1:3" x14ac:dyDescent="0.3">
      <c r="A86" s="1" t="s">
        <v>101</v>
      </c>
      <c r="B86">
        <v>4</v>
      </c>
      <c r="C86">
        <v>0.05</v>
      </c>
    </row>
    <row r="87" spans="1:3" x14ac:dyDescent="0.3">
      <c r="A87" s="1" t="s">
        <v>102</v>
      </c>
      <c r="B87">
        <v>1</v>
      </c>
      <c r="C87">
        <v>0.02</v>
      </c>
    </row>
    <row r="88" spans="1:3" x14ac:dyDescent="0.3">
      <c r="A88" s="1" t="s">
        <v>103</v>
      </c>
      <c r="B88">
        <v>7</v>
      </c>
      <c r="C88">
        <v>0.01</v>
      </c>
    </row>
    <row r="89" spans="1:3" x14ac:dyDescent="0.3">
      <c r="A89" s="1" t="s">
        <v>104</v>
      </c>
      <c r="B89">
        <v>3</v>
      </c>
      <c r="C89">
        <v>0.1</v>
      </c>
    </row>
    <row r="90" spans="1:3" x14ac:dyDescent="0.3">
      <c r="A90" s="1" t="s">
        <v>105</v>
      </c>
      <c r="B90">
        <v>4</v>
      </c>
      <c r="C90">
        <v>7.0000000000000007E-2</v>
      </c>
    </row>
    <row r="91" spans="1:3" x14ac:dyDescent="0.3">
      <c r="A91" s="1" t="s">
        <v>106</v>
      </c>
      <c r="B91">
        <v>5</v>
      </c>
      <c r="C91">
        <v>0.09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99AC83-404C-4D4B-A9E1-9D3F61195E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PivotTables</vt:lpstr>
      <vt:lpstr>Sheet11</vt:lpstr>
      <vt:lpstr>Sales_All</vt:lpstr>
      <vt:lpstr>VIP_Report</vt:lpstr>
      <vt:lpstr>Lists</vt:lpstr>
      <vt:lpstr>Summary</vt:lpstr>
      <vt:lpstr>Customer_List</vt:lpstr>
      <vt:lpstr>Product_List</vt:lpstr>
      <vt:lpstr>Finance_Data</vt:lpstr>
      <vt:lpstr>Operations_Data</vt:lpstr>
      <vt:lpstr>Accessories</vt:lpstr>
      <vt:lpstr>Electronics</vt:lpstr>
      <vt:lpstr>Office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Senamile  Mzimela</dc:creator>
  <cp:lastModifiedBy>Senamile  Mzimela</cp:lastModifiedBy>
  <dcterms:created xsi:type="dcterms:W3CDTF">2026-08-06T06:49:42Z</dcterms:created>
  <dcterms:modified xsi:type="dcterms:W3CDTF">2026-08-06T13:18:43Z</dcterms:modified>
</cp:coreProperties>
</file>